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0.15\Contabilidad\UREBLOCK (RED)\CATALOGO\"/>
    </mc:Choice>
  </mc:AlternateContent>
  <xr:revisionPtr revIDLastSave="0" documentId="13_ncr:1_{375847FD-EA0C-4D61-805D-8A4D98C0E1EB}" xr6:coauthVersionLast="47" xr6:coauthVersionMax="47" xr10:uidLastSave="{00000000-0000-0000-0000-000000000000}"/>
  <bookViews>
    <workbookView xWindow="28680" yWindow="-120" windowWidth="29040" windowHeight="15720" firstSheet="4" activeTab="4" xr2:uid="{00000000-000D-0000-FFFF-FFFF00000000}"/>
  </bookViews>
  <sheets>
    <sheet name="Modelo Edo Resul" sheetId="4" state="hidden" r:id="rId1"/>
    <sheet name="Costo Std" sheetId="5" state="hidden" r:id="rId2"/>
    <sheet name="FLUJO CONTABLE" sheetId="1" state="hidden" r:id="rId3"/>
    <sheet name="Hoja reporte" sheetId="3" state="hidden" r:id="rId4"/>
    <sheet name="Catálogo" sheetId="8" r:id="rId5"/>
    <sheet name="Hoja1" sheetId="9" r:id="rId6"/>
  </sheets>
  <definedNames>
    <definedName name="_xlnm._FilterDatabase" localSheetId="4" hidden="1">Catálogo!$A$1:$H$1067</definedName>
    <definedName name="_xlnm.Print_Area" localSheetId="4">Catálogo!$A$336:$G$373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8" l="1"/>
  <c r="H65" i="8"/>
  <c r="H64" i="8"/>
  <c r="H93" i="8"/>
  <c r="H92" i="8"/>
  <c r="H62" i="8"/>
  <c r="H61" i="8"/>
  <c r="H379" i="8"/>
  <c r="H123" i="8"/>
  <c r="H124" i="8"/>
  <c r="H1072" i="8"/>
  <c r="H1071" i="8"/>
  <c r="H1070" i="8"/>
  <c r="H1069" i="8"/>
  <c r="H369" i="8"/>
  <c r="H368" i="8"/>
  <c r="H366" i="8"/>
  <c r="H127" i="8"/>
  <c r="H126" i="8"/>
  <c r="H125" i="8"/>
  <c r="H750" i="8"/>
  <c r="H749" i="8"/>
  <c r="H754" i="8"/>
  <c r="H753" i="8"/>
  <c r="H752" i="8"/>
  <c r="H751" i="8"/>
  <c r="H1031" i="8"/>
  <c r="H1032" i="8"/>
  <c r="H382" i="8"/>
  <c r="H381" i="8"/>
  <c r="H380" i="8"/>
  <c r="C380" i="8"/>
  <c r="C381" i="8" s="1"/>
  <c r="C382" i="8" s="1"/>
  <c r="H364" i="8"/>
  <c r="H116" i="8"/>
  <c r="H91" i="8"/>
  <c r="H202" i="8"/>
  <c r="H201" i="8"/>
  <c r="H90" i="8"/>
  <c r="H89" i="8"/>
  <c r="H267" i="8"/>
  <c r="H266" i="8"/>
  <c r="H215" i="8"/>
  <c r="H74" i="8"/>
  <c r="H73" i="8"/>
  <c r="H72" i="8"/>
  <c r="H71" i="8"/>
  <c r="H70" i="8"/>
  <c r="H88" i="8"/>
  <c r="H87" i="8"/>
  <c r="H75" i="8"/>
  <c r="H200" i="8" l="1"/>
  <c r="H199" i="8"/>
  <c r="H673" i="8" l="1"/>
  <c r="H672" i="8"/>
  <c r="H642" i="8"/>
  <c r="H641" i="8"/>
  <c r="H608" i="8"/>
  <c r="H607" i="8"/>
  <c r="H577" i="8"/>
  <c r="H576" i="8"/>
  <c r="H543" i="8"/>
  <c r="H542" i="8"/>
  <c r="H512" i="8"/>
  <c r="H511" i="8"/>
  <c r="H463" i="8"/>
  <c r="H462" i="8"/>
  <c r="H432" i="8"/>
  <c r="H431" i="8"/>
  <c r="H20" i="8"/>
  <c r="H19" i="8"/>
  <c r="H18" i="8"/>
  <c r="H17" i="8"/>
  <c r="H16" i="8"/>
  <c r="H157" i="8"/>
  <c r="H156" i="8"/>
  <c r="H990" i="8"/>
  <c r="H924" i="8"/>
  <c r="H923" i="8"/>
  <c r="H289" i="8"/>
  <c r="H288" i="8"/>
  <c r="C288" i="8"/>
  <c r="C289" i="8" s="1"/>
  <c r="C282" i="8"/>
  <c r="H282" i="8"/>
  <c r="H122" i="8"/>
  <c r="H302" i="8"/>
  <c r="H287" i="8"/>
  <c r="H286" i="8"/>
  <c r="H862" i="8"/>
  <c r="H60" i="8"/>
  <c r="H59" i="8"/>
  <c r="H99" i="8"/>
  <c r="H98" i="8"/>
  <c r="H86" i="8"/>
  <c r="H85" i="8"/>
  <c r="H84" i="8"/>
  <c r="H83" i="8"/>
  <c r="H748" i="8"/>
  <c r="H58" i="8"/>
  <c r="H57" i="8"/>
  <c r="H265" i="8"/>
  <c r="H56" i="8"/>
  <c r="H861" i="8"/>
  <c r="H264" i="8"/>
  <c r="H263" i="8"/>
  <c r="H55" i="8"/>
  <c r="H54" i="8"/>
  <c r="H372" i="8"/>
  <c r="H371" i="8"/>
  <c r="H370" i="8"/>
  <c r="C370" i="8"/>
  <c r="C371" i="8" s="1"/>
  <c r="C372" i="8" s="1"/>
  <c r="H989" i="8"/>
  <c r="H378" i="8"/>
  <c r="H377" i="8"/>
  <c r="H376" i="8"/>
  <c r="H375" i="8"/>
  <c r="C375" i="8"/>
  <c r="C376" i="8" s="1"/>
  <c r="C377" i="8" s="1"/>
  <c r="C378" i="8" s="1"/>
  <c r="C379" i="8" s="1"/>
  <c r="H281" i="8"/>
  <c r="H280" i="8"/>
  <c r="H262" i="8"/>
  <c r="H261" i="8"/>
  <c r="H1010" i="8"/>
  <c r="C799" i="8"/>
  <c r="C800" i="8" s="1"/>
  <c r="C801" i="8" s="1"/>
  <c r="C802" i="8" s="1"/>
  <c r="C803" i="8" s="1"/>
  <c r="H945" i="8"/>
  <c r="H97" i="8"/>
  <c r="H53" i="8"/>
  <c r="H52" i="8"/>
  <c r="H51" i="8"/>
  <c r="H50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318" i="8"/>
  <c r="H189" i="8"/>
  <c r="H191" i="8"/>
  <c r="H279" i="8"/>
  <c r="C283" i="8" l="1"/>
  <c r="C284" i="8" s="1"/>
  <c r="C285" i="8" s="1"/>
  <c r="H285" i="8"/>
  <c r="H284" i="8"/>
  <c r="H283" i="8"/>
  <c r="H278" i="8"/>
  <c r="H190" i="8"/>
  <c r="H310" i="8"/>
  <c r="H860" i="8"/>
  <c r="H296" i="8"/>
  <c r="H96" i="8"/>
  <c r="H95" i="8"/>
  <c r="H94" i="8"/>
  <c r="H1021" i="8" l="1"/>
  <c r="H954" i="8" l="1"/>
  <c r="H953" i="8"/>
  <c r="C953" i="8"/>
  <c r="C954" i="8" s="1"/>
  <c r="H1057" i="8" l="1"/>
  <c r="H1056" i="8"/>
  <c r="H387" i="8"/>
  <c r="H386" i="8"/>
  <c r="C386" i="8"/>
  <c r="C387" i="8" s="1"/>
  <c r="H271" i="8"/>
  <c r="H270" i="8"/>
  <c r="C270" i="8"/>
  <c r="C271" i="8" s="1"/>
  <c r="H309" i="8" l="1"/>
  <c r="H333" i="8" l="1"/>
  <c r="H182" i="8"/>
  <c r="H181" i="8"/>
  <c r="H1055" i="8" l="1"/>
  <c r="H198" i="8" l="1"/>
  <c r="H269" i="8" l="1"/>
  <c r="H268" i="8"/>
  <c r="C268" i="8"/>
  <c r="C269" i="8" s="1"/>
  <c r="H708" i="8" l="1"/>
  <c r="H558" i="8"/>
  <c r="H678" i="8" l="1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327" i="8" l="1"/>
  <c r="H323" i="8"/>
  <c r="H180" i="8"/>
  <c r="H179" i="8"/>
  <c r="H178" i="8"/>
  <c r="H172" i="8"/>
  <c r="H168" i="8"/>
  <c r="H104" i="8" l="1"/>
  <c r="H922" i="8" l="1"/>
  <c r="H925" i="8" l="1"/>
  <c r="H926" i="8"/>
  <c r="H167" i="8" l="1"/>
  <c r="H69" i="8" l="1"/>
  <c r="H929" i="8" l="1"/>
  <c r="H161" i="8" l="1"/>
  <c r="H301" i="8" l="1"/>
  <c r="H300" i="8"/>
  <c r="H332" i="8" l="1"/>
  <c r="H353" i="8" l="1"/>
  <c r="H121" i="8" l="1"/>
  <c r="H693" i="8" l="1"/>
  <c r="H478" i="8"/>
  <c r="H671" i="8"/>
  <c r="H640" i="8"/>
  <c r="H606" i="8"/>
  <c r="H575" i="8"/>
  <c r="H541" i="8"/>
  <c r="H510" i="8"/>
  <c r="H461" i="8"/>
  <c r="H430" i="8"/>
  <c r="H155" i="8"/>
  <c r="H317" i="8" l="1"/>
  <c r="H859" i="8" l="1"/>
  <c r="H858" i="8"/>
  <c r="H857" i="8"/>
  <c r="H856" i="8"/>
  <c r="H78" i="8" l="1"/>
  <c r="H137" i="8" l="1"/>
  <c r="H136" i="8"/>
  <c r="C136" i="8"/>
  <c r="C137" i="8" s="1"/>
  <c r="H692" i="8" l="1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1054" i="8" l="1"/>
  <c r="H1046" i="8"/>
  <c r="H1028" i="8" l="1"/>
  <c r="H1027" i="8"/>
  <c r="H987" i="8"/>
  <c r="H986" i="8"/>
  <c r="H981" i="8"/>
  <c r="H980" i="8"/>
  <c r="H919" i="8"/>
  <c r="H918" i="8"/>
  <c r="H913" i="8"/>
  <c r="H912" i="8"/>
  <c r="H853" i="8"/>
  <c r="H852" i="8"/>
  <c r="H847" i="8"/>
  <c r="H846" i="8"/>
  <c r="H743" i="8"/>
  <c r="H742" i="8"/>
  <c r="H737" i="8"/>
  <c r="H736" i="8"/>
  <c r="C560" i="8" l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495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C578" i="8" l="1"/>
  <c r="C579" i="8" s="1"/>
  <c r="C580" i="8" s="1"/>
  <c r="C581" i="8" s="1"/>
  <c r="C575" i="8"/>
  <c r="C576" i="8" s="1"/>
  <c r="C577" i="8" s="1"/>
  <c r="C1033" i="8"/>
  <c r="C1034" i="8" s="1"/>
  <c r="H969" i="8"/>
  <c r="H968" i="8"/>
  <c r="H967" i="8"/>
  <c r="H966" i="8"/>
  <c r="H965" i="8"/>
  <c r="H964" i="8"/>
  <c r="H963" i="8"/>
  <c r="H901" i="8"/>
  <c r="H900" i="8"/>
  <c r="H899" i="8"/>
  <c r="H898" i="8"/>
  <c r="H897" i="8"/>
  <c r="H896" i="8"/>
  <c r="H895" i="8"/>
  <c r="H835" i="8"/>
  <c r="H834" i="8"/>
  <c r="H833" i="8"/>
  <c r="H832" i="8"/>
  <c r="H831" i="8"/>
  <c r="H830" i="8"/>
  <c r="H829" i="8"/>
  <c r="H725" i="8"/>
  <c r="H724" i="8"/>
  <c r="H723" i="8"/>
  <c r="H722" i="8"/>
  <c r="H721" i="8"/>
  <c r="H720" i="8"/>
  <c r="H719" i="8"/>
  <c r="H361" i="8"/>
  <c r="H360" i="8"/>
  <c r="H359" i="8"/>
  <c r="C362" i="8"/>
  <c r="H357" i="8"/>
  <c r="H344" i="8"/>
  <c r="H343" i="8"/>
  <c r="H342" i="8"/>
  <c r="H340" i="8"/>
  <c r="H316" i="8"/>
  <c r="H160" i="8"/>
  <c r="H159" i="8"/>
  <c r="H135" i="8" l="1"/>
  <c r="H134" i="8"/>
  <c r="H133" i="8"/>
  <c r="H131" i="8"/>
  <c r="H106" i="8" l="1"/>
  <c r="H107" i="8"/>
  <c r="H108" i="8"/>
  <c r="H103" i="8"/>
  <c r="H352" i="8" l="1"/>
  <c r="H351" i="8"/>
  <c r="H350" i="8"/>
  <c r="C350" i="8"/>
  <c r="C351" i="8" s="1"/>
  <c r="C352" i="8" s="1"/>
  <c r="C353" i="8" s="1"/>
  <c r="H677" i="8"/>
  <c r="H676" i="8"/>
  <c r="H675" i="8"/>
  <c r="H674" i="8"/>
  <c r="H119" i="8"/>
  <c r="H118" i="8"/>
  <c r="H928" i="8"/>
  <c r="H930" i="8"/>
  <c r="H931" i="8"/>
  <c r="H932" i="8"/>
  <c r="H927" i="8"/>
  <c r="H158" i="8"/>
  <c r="H177" i="8"/>
  <c r="H176" i="8"/>
  <c r="H175" i="8"/>
  <c r="H174" i="8"/>
  <c r="H173" i="8"/>
  <c r="H49" i="8"/>
  <c r="H299" i="8"/>
  <c r="H241" i="8"/>
  <c r="H232" i="8"/>
  <c r="H224" i="8"/>
  <c r="H214" i="8"/>
  <c r="H15" i="8"/>
  <c r="H670" i="8" l="1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26" i="8"/>
  <c r="H592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735" i="8"/>
  <c r="C582" i="8" l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H740" i="8"/>
  <c r="H820" i="8"/>
  <c r="H819" i="8"/>
  <c r="H818" i="8"/>
  <c r="H817" i="8"/>
  <c r="C623" i="8" l="1"/>
  <c r="C606" i="8"/>
  <c r="C607" i="8" s="1"/>
  <c r="C608" i="8" s="1"/>
  <c r="H3" i="8"/>
  <c r="H4" i="8"/>
  <c r="H5" i="8"/>
  <c r="H6" i="8"/>
  <c r="H7" i="8"/>
  <c r="H8" i="8"/>
  <c r="H9" i="8"/>
  <c r="H10" i="8"/>
  <c r="H11" i="8"/>
  <c r="H12" i="8"/>
  <c r="H13" i="8"/>
  <c r="H14" i="8"/>
  <c r="H21" i="8"/>
  <c r="H22" i="8"/>
  <c r="H23" i="8"/>
  <c r="H24" i="8"/>
  <c r="H25" i="8"/>
  <c r="H26" i="8"/>
  <c r="H43" i="8"/>
  <c r="H44" i="8"/>
  <c r="H45" i="8"/>
  <c r="H46" i="8"/>
  <c r="H47" i="8"/>
  <c r="H48" i="8"/>
  <c r="H66" i="8"/>
  <c r="H67" i="8"/>
  <c r="H68" i="8"/>
  <c r="H76" i="8"/>
  <c r="H77" i="8"/>
  <c r="H79" i="8"/>
  <c r="H80" i="8"/>
  <c r="H81" i="8"/>
  <c r="H82" i="8"/>
  <c r="H100" i="8"/>
  <c r="H101" i="8"/>
  <c r="H102" i="8"/>
  <c r="H105" i="8"/>
  <c r="H109" i="8"/>
  <c r="H110" i="8"/>
  <c r="H111" i="8"/>
  <c r="H112" i="8"/>
  <c r="H113" i="8"/>
  <c r="H114" i="8"/>
  <c r="H115" i="8"/>
  <c r="H117" i="8"/>
  <c r="H120" i="8"/>
  <c r="H128" i="8"/>
  <c r="H129" i="8"/>
  <c r="H130" i="8"/>
  <c r="H132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62" i="8"/>
  <c r="H163" i="8"/>
  <c r="H164" i="8"/>
  <c r="H165" i="8"/>
  <c r="H166" i="8"/>
  <c r="H169" i="8"/>
  <c r="H170" i="8"/>
  <c r="H171" i="8"/>
  <c r="H183" i="8"/>
  <c r="H184" i="8"/>
  <c r="H185" i="8"/>
  <c r="H186" i="8"/>
  <c r="H187" i="8"/>
  <c r="H188" i="8"/>
  <c r="H192" i="8"/>
  <c r="H193" i="8"/>
  <c r="H194" i="8"/>
  <c r="H195" i="8"/>
  <c r="H196" i="8"/>
  <c r="H197" i="8"/>
  <c r="H203" i="8"/>
  <c r="H204" i="8"/>
  <c r="H205" i="8"/>
  <c r="H206" i="8"/>
  <c r="H207" i="8"/>
  <c r="H208" i="8"/>
  <c r="H209" i="8"/>
  <c r="H210" i="8"/>
  <c r="H211" i="8"/>
  <c r="H212" i="8"/>
  <c r="H213" i="8"/>
  <c r="H216" i="8"/>
  <c r="H217" i="8"/>
  <c r="H218" i="8"/>
  <c r="H219" i="8"/>
  <c r="H220" i="8"/>
  <c r="H221" i="8"/>
  <c r="H222" i="8"/>
  <c r="H223" i="8"/>
  <c r="H225" i="8"/>
  <c r="H226" i="8"/>
  <c r="H227" i="8"/>
  <c r="H228" i="8"/>
  <c r="H229" i="8"/>
  <c r="H230" i="8"/>
  <c r="H231" i="8"/>
  <c r="H233" i="8"/>
  <c r="H234" i="8"/>
  <c r="H235" i="8"/>
  <c r="H236" i="8"/>
  <c r="H237" i="8"/>
  <c r="H238" i="8"/>
  <c r="H239" i="8"/>
  <c r="H240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72" i="8"/>
  <c r="H273" i="8"/>
  <c r="H274" i="8"/>
  <c r="H275" i="8"/>
  <c r="H276" i="8"/>
  <c r="H277" i="8"/>
  <c r="H290" i="8"/>
  <c r="H291" i="8"/>
  <c r="H292" i="8"/>
  <c r="H293" i="8"/>
  <c r="H294" i="8"/>
  <c r="H295" i="8"/>
  <c r="H297" i="8"/>
  <c r="H298" i="8"/>
  <c r="H303" i="8"/>
  <c r="H304" i="8"/>
  <c r="H305" i="8"/>
  <c r="H306" i="8"/>
  <c r="H307" i="8"/>
  <c r="H308" i="8"/>
  <c r="H311" i="8"/>
  <c r="H312" i="8"/>
  <c r="H313" i="8"/>
  <c r="H314" i="8"/>
  <c r="H315" i="8"/>
  <c r="H319" i="8"/>
  <c r="H320" i="8"/>
  <c r="H321" i="8"/>
  <c r="H322" i="8"/>
  <c r="H324" i="8"/>
  <c r="H325" i="8"/>
  <c r="H326" i="8"/>
  <c r="H328" i="8"/>
  <c r="H329" i="8"/>
  <c r="H330" i="8"/>
  <c r="H331" i="8"/>
  <c r="H334" i="8"/>
  <c r="H335" i="8"/>
  <c r="H336" i="8"/>
  <c r="H337" i="8"/>
  <c r="H338" i="8"/>
  <c r="H339" i="8"/>
  <c r="H341" i="8"/>
  <c r="H345" i="8"/>
  <c r="H346" i="8"/>
  <c r="H347" i="8"/>
  <c r="H348" i="8"/>
  <c r="H349" i="8"/>
  <c r="H354" i="8"/>
  <c r="H355" i="8"/>
  <c r="H356" i="8"/>
  <c r="H358" i="8"/>
  <c r="H362" i="8"/>
  <c r="H363" i="8"/>
  <c r="H365" i="8"/>
  <c r="H367" i="8"/>
  <c r="H373" i="8"/>
  <c r="H374" i="8"/>
  <c r="H383" i="8"/>
  <c r="H384" i="8"/>
  <c r="H385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60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59" i="8"/>
  <c r="H623" i="8"/>
  <c r="H624" i="8"/>
  <c r="H625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709" i="8"/>
  <c r="H710" i="8"/>
  <c r="H711" i="8"/>
  <c r="H712" i="8"/>
  <c r="H713" i="8"/>
  <c r="H718" i="8"/>
  <c r="H726" i="8"/>
  <c r="H727" i="8"/>
  <c r="H728" i="8"/>
  <c r="H729" i="8"/>
  <c r="H730" i="8"/>
  <c r="H731" i="8"/>
  <c r="H732" i="8"/>
  <c r="H734" i="8"/>
  <c r="H738" i="8"/>
  <c r="H739" i="8"/>
  <c r="H741" i="8"/>
  <c r="H744" i="8"/>
  <c r="H745" i="8"/>
  <c r="H746" i="8"/>
  <c r="H747" i="8"/>
  <c r="H755" i="8"/>
  <c r="H714" i="8"/>
  <c r="H715" i="8"/>
  <c r="H716" i="8"/>
  <c r="H717" i="8"/>
  <c r="H73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21" i="8"/>
  <c r="H822" i="8"/>
  <c r="H823" i="8"/>
  <c r="H824" i="8"/>
  <c r="H825" i="8"/>
  <c r="H826" i="8"/>
  <c r="H827" i="8"/>
  <c r="H828" i="8"/>
  <c r="H836" i="8"/>
  <c r="H837" i="8"/>
  <c r="H838" i="8"/>
  <c r="H839" i="8"/>
  <c r="H840" i="8"/>
  <c r="H841" i="8"/>
  <c r="H842" i="8"/>
  <c r="H843" i="8"/>
  <c r="H844" i="8"/>
  <c r="H845" i="8"/>
  <c r="H848" i="8"/>
  <c r="H849" i="8"/>
  <c r="H850" i="8"/>
  <c r="H851" i="8"/>
  <c r="H854" i="8"/>
  <c r="H855" i="8"/>
  <c r="H887" i="8"/>
  <c r="H888" i="8"/>
  <c r="H889" i="8"/>
  <c r="H890" i="8"/>
  <c r="H891" i="8"/>
  <c r="H892" i="8"/>
  <c r="H893" i="8"/>
  <c r="H894" i="8"/>
  <c r="H902" i="8"/>
  <c r="H903" i="8"/>
  <c r="H904" i="8"/>
  <c r="H905" i="8"/>
  <c r="H906" i="8"/>
  <c r="H907" i="8"/>
  <c r="H908" i="8"/>
  <c r="H909" i="8"/>
  <c r="H910" i="8"/>
  <c r="H911" i="8"/>
  <c r="H914" i="8"/>
  <c r="H915" i="8"/>
  <c r="H916" i="8"/>
  <c r="H917" i="8"/>
  <c r="H920" i="8"/>
  <c r="H921" i="8"/>
  <c r="H952" i="8"/>
  <c r="H956" i="8"/>
  <c r="H957" i="8"/>
  <c r="H958" i="8"/>
  <c r="H959" i="8"/>
  <c r="H960" i="8"/>
  <c r="H961" i="8"/>
  <c r="H962" i="8"/>
  <c r="H970" i="8"/>
  <c r="H971" i="8"/>
  <c r="H972" i="8"/>
  <c r="H973" i="8"/>
  <c r="H974" i="8"/>
  <c r="H975" i="8"/>
  <c r="H976" i="8"/>
  <c r="H977" i="8"/>
  <c r="H978" i="8"/>
  <c r="H979" i="8"/>
  <c r="H982" i="8"/>
  <c r="H983" i="8"/>
  <c r="H984" i="8"/>
  <c r="H985" i="8"/>
  <c r="H988" i="8"/>
  <c r="H1015" i="8"/>
  <c r="H1016" i="8"/>
  <c r="H1017" i="8"/>
  <c r="H1018" i="8"/>
  <c r="H1019" i="8"/>
  <c r="H1020" i="8"/>
  <c r="H1022" i="8"/>
  <c r="H1023" i="8"/>
  <c r="H1024" i="8"/>
  <c r="H1025" i="8"/>
  <c r="H1026" i="8"/>
  <c r="H1029" i="8"/>
  <c r="H1030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7" i="8"/>
  <c r="H1048" i="8"/>
  <c r="H1049" i="8"/>
  <c r="H1050" i="8"/>
  <c r="H1051" i="8"/>
  <c r="H1052" i="8"/>
  <c r="H1053" i="8"/>
  <c r="H1058" i="8"/>
  <c r="H1059" i="8"/>
  <c r="H1060" i="8"/>
  <c r="H1061" i="8"/>
  <c r="H1062" i="8"/>
  <c r="H1063" i="8"/>
  <c r="H1064" i="8"/>
  <c r="H1065" i="8"/>
  <c r="H1066" i="8"/>
  <c r="H1067" i="8"/>
  <c r="H1068" i="8"/>
  <c r="H2" i="8"/>
  <c r="C1060" i="8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59" i="8"/>
  <c r="C1038" i="8"/>
  <c r="C1039" i="8" s="1"/>
  <c r="C1040" i="8" s="1"/>
  <c r="C1041" i="8" s="1"/>
  <c r="C1042" i="8" s="1"/>
  <c r="C1043" i="8" s="1"/>
  <c r="C1044" i="8" s="1"/>
  <c r="C1045" i="8" s="1"/>
  <c r="C1037" i="8"/>
  <c r="C1035" i="8"/>
  <c r="C1036" i="8" s="1"/>
  <c r="C1017" i="8"/>
  <c r="C1016" i="8"/>
  <c r="C956" i="8"/>
  <c r="C957" i="8" s="1"/>
  <c r="C958" i="8" s="1"/>
  <c r="C959" i="8" s="1"/>
  <c r="C960" i="8" s="1"/>
  <c r="C961" i="8" s="1"/>
  <c r="C962" i="8" s="1"/>
  <c r="C888" i="8"/>
  <c r="C889" i="8" s="1"/>
  <c r="C890" i="8" s="1"/>
  <c r="C891" i="8" s="1"/>
  <c r="C892" i="8" s="1"/>
  <c r="C893" i="8" s="1"/>
  <c r="C894" i="8" s="1"/>
  <c r="C822" i="8"/>
  <c r="C823" i="8" s="1"/>
  <c r="C824" i="8" s="1"/>
  <c r="C825" i="8" s="1"/>
  <c r="C826" i="8" s="1"/>
  <c r="C827" i="8" s="1"/>
  <c r="C828" i="8" s="1"/>
  <c r="C821" i="8"/>
  <c r="C815" i="8"/>
  <c r="C816" i="8" s="1"/>
  <c r="C817" i="8" s="1"/>
  <c r="C818" i="8" s="1"/>
  <c r="C819" i="8" s="1"/>
  <c r="C820" i="8" s="1"/>
  <c r="C804" i="8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710" i="8"/>
  <c r="C711" i="8" s="1"/>
  <c r="C712" i="8" s="1"/>
  <c r="C713" i="8" s="1"/>
  <c r="C714" i="8" s="1"/>
  <c r="C715" i="8" s="1"/>
  <c r="C716" i="8" s="1"/>
  <c r="C717" i="8" s="1"/>
  <c r="C718" i="8" s="1"/>
  <c r="C625" i="8"/>
  <c r="C624" i="8"/>
  <c r="C496" i="8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415" i="8"/>
  <c r="C414" i="8"/>
  <c r="C413" i="8"/>
  <c r="C411" i="8"/>
  <c r="C412" i="8" s="1"/>
  <c r="C407" i="8"/>
  <c r="C408" i="8" s="1"/>
  <c r="C409" i="8" s="1"/>
  <c r="C410" i="8" s="1"/>
  <c r="C405" i="8"/>
  <c r="C406" i="8" s="1"/>
  <c r="C403" i="8"/>
  <c r="C404" i="8" s="1"/>
  <c r="C400" i="8"/>
  <c r="C401" i="8" s="1"/>
  <c r="C402" i="8" s="1"/>
  <c r="C397" i="8"/>
  <c r="C398" i="8" s="1"/>
  <c r="C399" i="8" s="1"/>
  <c r="C394" i="8"/>
  <c r="C395" i="8" s="1"/>
  <c r="C396" i="8" s="1"/>
  <c r="C390" i="8"/>
  <c r="C391" i="8" s="1"/>
  <c r="C392" i="8" s="1"/>
  <c r="C393" i="8" s="1"/>
  <c r="C389" i="8"/>
  <c r="C388" i="8"/>
  <c r="C384" i="8"/>
  <c r="C385" i="8" s="1"/>
  <c r="C383" i="8"/>
  <c r="C373" i="8"/>
  <c r="C374" i="8" s="1"/>
  <c r="C363" i="8"/>
  <c r="C354" i="8"/>
  <c r="C355" i="8" s="1"/>
  <c r="C356" i="8" s="1"/>
  <c r="C357" i="8" s="1"/>
  <c r="C358" i="8" s="1"/>
  <c r="C359" i="8" s="1"/>
  <c r="C360" i="8" s="1"/>
  <c r="C361" i="8" s="1"/>
  <c r="C345" i="8"/>
  <c r="C346" i="8" s="1"/>
  <c r="C347" i="8" s="1"/>
  <c r="C337" i="8"/>
  <c r="C338" i="8" s="1"/>
  <c r="C339" i="8" s="1"/>
  <c r="C340" i="8" s="1"/>
  <c r="C341" i="8" s="1"/>
  <c r="C342" i="8" s="1"/>
  <c r="C343" i="8" s="1"/>
  <c r="C344" i="8" s="1"/>
  <c r="C334" i="8"/>
  <c r="C335" i="8" s="1"/>
  <c r="C336" i="8" s="1"/>
  <c r="C290" i="8"/>
  <c r="C291" i="8" s="1"/>
  <c r="C292" i="8" s="1"/>
  <c r="C293" i="8" s="1"/>
  <c r="C294" i="8" s="1"/>
  <c r="C295" i="8" s="1"/>
  <c r="C274" i="8"/>
  <c r="C275" i="8" s="1"/>
  <c r="C276" i="8" s="1"/>
  <c r="C277" i="8" s="1"/>
  <c r="C278" i="8" s="1"/>
  <c r="C279" i="8" s="1"/>
  <c r="C280" i="8" s="1"/>
  <c r="C281" i="8" s="1"/>
  <c r="C273" i="8"/>
  <c r="C272" i="8"/>
  <c r="C258" i="8"/>
  <c r="C259" i="8" s="1"/>
  <c r="C260" i="8" s="1"/>
  <c r="C261" i="8" s="1"/>
  <c r="C262" i="8" s="1"/>
  <c r="C263" i="8" s="1"/>
  <c r="C264" i="8" s="1"/>
  <c r="C265" i="8" s="1"/>
  <c r="C266" i="8" s="1"/>
  <c r="C267" i="8" s="1"/>
  <c r="C252" i="8"/>
  <c r="C253" i="8" s="1"/>
  <c r="C254" i="8" s="1"/>
  <c r="C255" i="8" s="1"/>
  <c r="C256" i="8" s="1"/>
  <c r="C257" i="8" s="1"/>
  <c r="C243" i="8"/>
  <c r="C244" i="8" s="1"/>
  <c r="C245" i="8" s="1"/>
  <c r="C246" i="8" s="1"/>
  <c r="C247" i="8" s="1"/>
  <c r="C248" i="8" s="1"/>
  <c r="C249" i="8" s="1"/>
  <c r="C242" i="8"/>
  <c r="C225" i="8"/>
  <c r="C226" i="8" s="1"/>
  <c r="C227" i="8" s="1"/>
  <c r="C228" i="8" s="1"/>
  <c r="C229" i="8" s="1"/>
  <c r="C230" i="8" s="1"/>
  <c r="C231" i="8" s="1"/>
  <c r="C204" i="8"/>
  <c r="C205" i="8" s="1"/>
  <c r="C206" i="8" s="1"/>
  <c r="C207" i="8" s="1"/>
  <c r="C208" i="8" s="1"/>
  <c r="C209" i="8" s="1"/>
  <c r="C210" i="8" s="1"/>
  <c r="C211" i="8" s="1"/>
  <c r="C212" i="8" s="1"/>
  <c r="C213" i="8" s="1"/>
  <c r="C193" i="8"/>
  <c r="C194" i="8" s="1"/>
  <c r="C195" i="8" s="1"/>
  <c r="C196" i="8" s="1"/>
  <c r="C197" i="8" s="1"/>
  <c r="C192" i="8"/>
  <c r="C183" i="8"/>
  <c r="C184" i="8" s="1"/>
  <c r="C185" i="8" s="1"/>
  <c r="C186" i="8" s="1"/>
  <c r="C187" i="8" s="1"/>
  <c r="C188" i="8" s="1"/>
  <c r="C163" i="8"/>
  <c r="C164" i="8" s="1"/>
  <c r="C165" i="8" s="1"/>
  <c r="C166" i="8" s="1"/>
  <c r="C138" i="8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28" i="8"/>
  <c r="C129" i="8" s="1"/>
  <c r="C130" i="8" s="1"/>
  <c r="C131" i="8" s="1"/>
  <c r="C132" i="8" s="1"/>
  <c r="C133" i="8" s="1"/>
  <c r="C134" i="8" s="1"/>
  <c r="C135" i="8" s="1"/>
  <c r="C113" i="8"/>
  <c r="C114" i="8" s="1"/>
  <c r="C115" i="8" s="1"/>
  <c r="C109" i="8"/>
  <c r="C110" i="8" s="1"/>
  <c r="C111" i="8" s="1"/>
  <c r="C112" i="8" s="1"/>
  <c r="C100" i="8"/>
  <c r="C101" i="8" s="1"/>
  <c r="C21" i="8"/>
  <c r="C22" i="8" s="1"/>
  <c r="C23" i="8" s="1"/>
  <c r="C24" i="8" s="1"/>
  <c r="C25" i="8" s="1"/>
  <c r="C26" i="8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3" i="8"/>
  <c r="C2" i="8"/>
  <c r="C365" i="8" l="1"/>
  <c r="C364" i="8"/>
  <c r="C117" i="8"/>
  <c r="C120" i="8" s="1"/>
  <c r="C116" i="8"/>
  <c r="C1018" i="8"/>
  <c r="C1019" i="8" s="1"/>
  <c r="C1020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43" i="8"/>
  <c r="C44" i="8" s="1"/>
  <c r="C45" i="8" s="1"/>
  <c r="C46" i="8" s="1"/>
  <c r="C47" i="8" s="1"/>
  <c r="C48" i="8" s="1"/>
  <c r="C66" i="8" s="1"/>
  <c r="C67" i="8" s="1"/>
  <c r="C68" i="8" s="1"/>
  <c r="C27" i="8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190" i="8"/>
  <c r="C191" i="8" s="1"/>
  <c r="C189" i="8"/>
  <c r="C297" i="8"/>
  <c r="C298" i="8" s="1"/>
  <c r="C303" i="8" s="1"/>
  <c r="C304" i="8" s="1"/>
  <c r="C305" i="8" s="1"/>
  <c r="C306" i="8" s="1"/>
  <c r="C307" i="8" s="1"/>
  <c r="C308" i="8" s="1"/>
  <c r="C296" i="8"/>
  <c r="C203" i="8"/>
  <c r="C198" i="8"/>
  <c r="C199" i="8" s="1"/>
  <c r="C200" i="8" s="1"/>
  <c r="C201" i="8" s="1"/>
  <c r="C202" i="8" s="1"/>
  <c r="C169" i="8"/>
  <c r="C170" i="8" s="1"/>
  <c r="C171" i="8" s="1"/>
  <c r="C167" i="8"/>
  <c r="C168" i="8" s="1"/>
  <c r="C513" i="8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10" i="8"/>
  <c r="C511" i="8" s="1"/>
  <c r="C512" i="8" s="1"/>
  <c r="C1046" i="8"/>
  <c r="C1047" i="8" s="1"/>
  <c r="C1048" i="8" s="1"/>
  <c r="C1049" i="8" s="1"/>
  <c r="C1050" i="8" s="1"/>
  <c r="C1051" i="8" s="1"/>
  <c r="C1052" i="8" s="1"/>
  <c r="C1053" i="8" s="1"/>
  <c r="C1054" i="8" s="1"/>
  <c r="C963" i="8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02" i="8"/>
  <c r="C903" i="8" s="1"/>
  <c r="C904" i="8" s="1"/>
  <c r="C905" i="8" s="1"/>
  <c r="C906" i="8" s="1"/>
  <c r="C907" i="8" s="1"/>
  <c r="C908" i="8" s="1"/>
  <c r="C909" i="8" s="1"/>
  <c r="C910" i="8" s="1"/>
  <c r="C911" i="8" s="1"/>
  <c r="C895" i="8"/>
  <c r="C896" i="8" s="1"/>
  <c r="C897" i="8" s="1"/>
  <c r="C898" i="8" s="1"/>
  <c r="C899" i="8" s="1"/>
  <c r="C900" i="8" s="1"/>
  <c r="C901" i="8" s="1"/>
  <c r="C829" i="8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726" i="8"/>
  <c r="C727" i="8" s="1"/>
  <c r="C728" i="8" s="1"/>
  <c r="C729" i="8" s="1"/>
  <c r="C730" i="8" s="1"/>
  <c r="C731" i="8" s="1"/>
  <c r="C732" i="8" s="1"/>
  <c r="C733" i="8" s="1"/>
  <c r="C734" i="8" s="1"/>
  <c r="C735" i="8" s="1"/>
  <c r="C719" i="8"/>
  <c r="C720" i="8" s="1"/>
  <c r="C721" i="8" s="1"/>
  <c r="C722" i="8" s="1"/>
  <c r="C723" i="8" s="1"/>
  <c r="C724" i="8" s="1"/>
  <c r="C725" i="8" s="1"/>
  <c r="C348" i="8"/>
  <c r="C349" i="8" s="1"/>
  <c r="C250" i="8"/>
  <c r="C251" i="8" s="1"/>
  <c r="C102" i="8"/>
  <c r="C107" i="8" s="1"/>
  <c r="C106" i="8"/>
  <c r="C162" i="8"/>
  <c r="C158" i="8"/>
  <c r="C159" i="8" s="1"/>
  <c r="C233" i="8"/>
  <c r="C234" i="8" s="1"/>
  <c r="C235" i="8" s="1"/>
  <c r="C236" i="8" s="1"/>
  <c r="C237" i="8" s="1"/>
  <c r="C238" i="8" s="1"/>
  <c r="C239" i="8" s="1"/>
  <c r="C240" i="8" s="1"/>
  <c r="C241" i="8" s="1"/>
  <c r="C232" i="8"/>
  <c r="C216" i="8"/>
  <c r="C217" i="8" s="1"/>
  <c r="C218" i="8" s="1"/>
  <c r="C219" i="8" s="1"/>
  <c r="C220" i="8" s="1"/>
  <c r="C221" i="8" s="1"/>
  <c r="C222" i="8" s="1"/>
  <c r="C223" i="8" s="1"/>
  <c r="C224" i="8" s="1"/>
  <c r="C214" i="8"/>
  <c r="C215" i="8" s="1"/>
  <c r="C627" i="8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26" i="8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16" i="8"/>
  <c r="C125" i="8" l="1"/>
  <c r="C123" i="8"/>
  <c r="C124" i="8" s="1"/>
  <c r="C367" i="8"/>
  <c r="C369" i="8" s="1"/>
  <c r="C366" i="8"/>
  <c r="C368" i="8" s="1"/>
  <c r="C1032" i="8"/>
  <c r="C1031" i="8"/>
  <c r="C118" i="8"/>
  <c r="C1021" i="8"/>
  <c r="C49" i="8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299" i="8"/>
  <c r="C300" i="8" s="1"/>
  <c r="C301" i="8" s="1"/>
  <c r="C302" i="8" s="1"/>
  <c r="C311" i="8"/>
  <c r="C312" i="8" s="1"/>
  <c r="C313" i="8" s="1"/>
  <c r="C314" i="8" s="1"/>
  <c r="C315" i="8" s="1"/>
  <c r="C319" i="8" s="1"/>
  <c r="C320" i="8" s="1"/>
  <c r="C321" i="8" s="1"/>
  <c r="C322" i="8" s="1"/>
  <c r="C309" i="8"/>
  <c r="C310" i="8" s="1"/>
  <c r="C1058" i="8"/>
  <c r="C1055" i="8"/>
  <c r="C1056" i="8" s="1"/>
  <c r="C1057" i="8" s="1"/>
  <c r="C173" i="8"/>
  <c r="C174" i="8" s="1"/>
  <c r="C175" i="8" s="1"/>
  <c r="C176" i="8" s="1"/>
  <c r="C177" i="8" s="1"/>
  <c r="C178" i="8" s="1"/>
  <c r="C179" i="8" s="1"/>
  <c r="C180" i="8" s="1"/>
  <c r="C181" i="8" s="1"/>
  <c r="C182" i="8" s="1"/>
  <c r="C172" i="8"/>
  <c r="C76" i="8"/>
  <c r="C77" i="8" s="1"/>
  <c r="C78" i="8" s="1"/>
  <c r="C69" i="8"/>
  <c r="C160" i="8"/>
  <c r="C161" i="8"/>
  <c r="C119" i="8"/>
  <c r="C122" i="8" s="1"/>
  <c r="C127" i="8" s="1"/>
  <c r="C121" i="8"/>
  <c r="C126" i="8" s="1"/>
  <c r="C559" i="8"/>
  <c r="C541" i="8"/>
  <c r="C542" i="8" s="1"/>
  <c r="C543" i="8" s="1"/>
  <c r="C982" i="8"/>
  <c r="C983" i="8" s="1"/>
  <c r="C984" i="8" s="1"/>
  <c r="C985" i="8" s="1"/>
  <c r="C980" i="8"/>
  <c r="C981" i="8" s="1"/>
  <c r="C914" i="8"/>
  <c r="C915" i="8" s="1"/>
  <c r="C916" i="8" s="1"/>
  <c r="C917" i="8" s="1"/>
  <c r="C912" i="8"/>
  <c r="C913" i="8" s="1"/>
  <c r="C846" i="8"/>
  <c r="C847" i="8" s="1"/>
  <c r="C848" i="8" s="1"/>
  <c r="C849" i="8" s="1"/>
  <c r="C850" i="8" s="1"/>
  <c r="C851" i="8" s="1"/>
  <c r="C736" i="8"/>
  <c r="C737" i="8" s="1"/>
  <c r="C738" i="8" s="1"/>
  <c r="C739" i="8" s="1"/>
  <c r="C740" i="8" s="1"/>
  <c r="C741" i="8" s="1"/>
  <c r="C429" i="8"/>
  <c r="C103" i="8"/>
  <c r="C105" i="8"/>
  <c r="C709" i="8"/>
  <c r="C644" i="8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43" i="8"/>
  <c r="C63" i="8" l="1"/>
  <c r="C64" i="8"/>
  <c r="C65" i="8" s="1"/>
  <c r="C75" i="8"/>
  <c r="C70" i="8"/>
  <c r="C71" i="8" s="1"/>
  <c r="C72" i="8" s="1"/>
  <c r="C73" i="8" s="1"/>
  <c r="C74" i="8" s="1"/>
  <c r="C316" i="8"/>
  <c r="C317" i="8" s="1"/>
  <c r="C318" i="8" s="1"/>
  <c r="C79" i="8"/>
  <c r="C80" i="8" s="1"/>
  <c r="C81" i="8" s="1"/>
  <c r="C324" i="8"/>
  <c r="C325" i="8" s="1"/>
  <c r="C326" i="8" s="1"/>
  <c r="C323" i="8"/>
  <c r="C108" i="8"/>
  <c r="C104" i="8"/>
  <c r="C433" i="8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30" i="8"/>
  <c r="C431" i="8" s="1"/>
  <c r="C432" i="8" s="1"/>
  <c r="C988" i="8"/>
  <c r="C986" i="8"/>
  <c r="C989" i="8" s="1"/>
  <c r="C920" i="8"/>
  <c r="C921" i="8" s="1"/>
  <c r="C922" i="8" s="1"/>
  <c r="C923" i="8" s="1"/>
  <c r="C924" i="8" s="1"/>
  <c r="C918" i="8"/>
  <c r="C919" i="8" s="1"/>
  <c r="C854" i="8"/>
  <c r="C855" i="8" s="1"/>
  <c r="C852" i="8"/>
  <c r="C853" i="8" s="1"/>
  <c r="C742" i="8"/>
  <c r="C743" i="8" s="1"/>
  <c r="C744" i="8" s="1"/>
  <c r="C745" i="8" s="1"/>
  <c r="C746" i="8" s="1"/>
  <c r="C658" i="8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57" i="8"/>
  <c r="C747" i="8" l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5" i="8" s="1"/>
  <c r="C776" i="8" s="1"/>
  <c r="C777" i="8" s="1"/>
  <c r="C778" i="8" s="1"/>
  <c r="C779" i="8" s="1"/>
  <c r="C749" i="8"/>
  <c r="C750" i="8" s="1"/>
  <c r="C993" i="8"/>
  <c r="C996" i="8" s="1"/>
  <c r="C999" i="8" s="1"/>
  <c r="C1002" i="8" s="1"/>
  <c r="C1005" i="8" s="1"/>
  <c r="C987" i="8"/>
  <c r="C991" i="8"/>
  <c r="C994" i="8" s="1"/>
  <c r="C997" i="8" s="1"/>
  <c r="C1000" i="8" s="1"/>
  <c r="C1003" i="8" s="1"/>
  <c r="C1006" i="8" s="1"/>
  <c r="C82" i="8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/>
  <c r="C95" i="8" s="1"/>
  <c r="C96" i="8" s="1"/>
  <c r="C97" i="8" s="1"/>
  <c r="C98" i="8" s="1"/>
  <c r="C99" i="8" s="1"/>
  <c r="C328" i="8"/>
  <c r="C329" i="8" s="1"/>
  <c r="C330" i="8" s="1"/>
  <c r="C331" i="8" s="1"/>
  <c r="C332" i="8" s="1"/>
  <c r="C333" i="8" s="1"/>
  <c r="C327" i="8"/>
  <c r="C925" i="8"/>
  <c r="C926" i="8"/>
  <c r="C927" i="8" s="1"/>
  <c r="C464" i="8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61" i="8"/>
  <c r="C462" i="8" s="1"/>
  <c r="C463" i="8" s="1"/>
  <c r="C887" i="8"/>
  <c r="C856" i="8"/>
  <c r="C857" i="8" s="1"/>
  <c r="C858" i="8" s="1"/>
  <c r="C859" i="8" s="1"/>
  <c r="C860" i="8" s="1"/>
  <c r="C861" i="8" s="1"/>
  <c r="C862" i="8" s="1"/>
  <c r="C952" i="8"/>
  <c r="C947" i="8" s="1"/>
  <c r="C950" i="8" s="1"/>
  <c r="C675" i="8"/>
  <c r="C677" i="8" s="1"/>
  <c r="C674" i="8"/>
  <c r="C676" i="8" s="1"/>
  <c r="C678" i="8" s="1"/>
  <c r="G20" i="3"/>
  <c r="H19" i="3"/>
  <c r="H16" i="3"/>
  <c r="E62" i="3"/>
  <c r="H42" i="3"/>
  <c r="E64" i="3" s="1"/>
  <c r="F64" i="3" s="1"/>
  <c r="H41" i="3"/>
  <c r="G37" i="3"/>
  <c r="F62" i="3"/>
  <c r="E61" i="3"/>
  <c r="F61" i="3" s="1"/>
  <c r="F71" i="3"/>
  <c r="F69" i="3"/>
  <c r="F58" i="3"/>
  <c r="H51" i="3"/>
  <c r="E60" i="3" s="1"/>
  <c r="F60" i="3" s="1"/>
  <c r="E36" i="3"/>
  <c r="E17" i="3"/>
  <c r="E20" i="3" s="1"/>
  <c r="E10" i="3"/>
  <c r="C748" i="8" l="1"/>
  <c r="C751" i="8" s="1"/>
  <c r="C752" i="8" s="1"/>
  <c r="C753" i="8" s="1"/>
  <c r="C754" i="8" s="1"/>
  <c r="C992" i="8"/>
  <c r="C995" i="8" s="1"/>
  <c r="C998" i="8" s="1"/>
  <c r="C1001" i="8" s="1"/>
  <c r="C1004" i="8" s="1"/>
  <c r="C1007" i="8" s="1"/>
  <c r="C1008" i="8" s="1"/>
  <c r="C1010" i="8" s="1"/>
  <c r="C1011" i="8" s="1"/>
  <c r="C1012" i="8" s="1"/>
  <c r="C1013" i="8" s="1"/>
  <c r="C1014" i="8" s="1"/>
  <c r="C1015" i="8" s="1"/>
  <c r="C990" i="8"/>
  <c r="C774" i="8"/>
  <c r="C928" i="8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29" i="8"/>
  <c r="C494" i="8"/>
  <c r="C478" i="8"/>
  <c r="C680" i="8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79" i="8"/>
  <c r="G38" i="3"/>
  <c r="G40" i="3" s="1"/>
  <c r="F17" i="3"/>
  <c r="F20" i="3" s="1"/>
  <c r="H20" i="3" s="1"/>
  <c r="H37" i="3"/>
  <c r="E63" i="3"/>
  <c r="F63" i="3" s="1"/>
  <c r="E13" i="3"/>
  <c r="C1009" i="8" l="1"/>
  <c r="C943" i="8"/>
  <c r="C945" i="8"/>
  <c r="C948" i="8" s="1"/>
  <c r="C951" i="8" s="1"/>
  <c r="E65" i="3"/>
  <c r="C693" i="8"/>
  <c r="C695" i="8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694" i="8"/>
  <c r="F38" i="3"/>
  <c r="H38" i="3" s="1"/>
  <c r="F65" i="3"/>
  <c r="E67" i="3"/>
  <c r="F67" i="3" s="1"/>
  <c r="E47" i="3"/>
  <c r="E49" i="3" s="1"/>
  <c r="E52" i="3" s="1"/>
  <c r="F40" i="3"/>
  <c r="H40" i="3" s="1"/>
  <c r="C946" i="8" l="1"/>
  <c r="C949" i="8" s="1"/>
  <c r="C944" i="8"/>
  <c r="E73" i="3"/>
  <c r="F73" i="3" s="1"/>
</calcChain>
</file>

<file path=xl/sharedStrings.xml><?xml version="1.0" encoding="utf-8"?>
<sst xmlns="http://schemas.openxmlformats.org/spreadsheetml/2006/main" count="4769" uniqueCount="1203">
  <si>
    <t>135 01</t>
  </si>
  <si>
    <t>(+)</t>
  </si>
  <si>
    <t>INV INIC M. PRIMA ESTANDAR</t>
  </si>
  <si>
    <t>COMPRAS A ESTANDAR</t>
  </si>
  <si>
    <t>(=)</t>
  </si>
  <si>
    <t>INVENTARIO DISPONIBLE</t>
  </si>
  <si>
    <t>(-)</t>
  </si>
  <si>
    <t>CONSUMOS ESTANDAR</t>
  </si>
  <si>
    <t>INV FINAL M. PRIMA ESTANDAR</t>
  </si>
  <si>
    <t>135 02</t>
  </si>
  <si>
    <t>INV INCIAL WIP</t>
  </si>
  <si>
    <t>REVERSION DEL INV WIP</t>
  </si>
  <si>
    <t>INV FINAL DE WIP</t>
  </si>
  <si>
    <t>135 03</t>
  </si>
  <si>
    <t>INV INCIAL PT STD</t>
  </si>
  <si>
    <t>COSTO DE PRODUCCIÓN STD</t>
  </si>
  <si>
    <t>INVENTARIO DISPONIBLE STD</t>
  </si>
  <si>
    <t>VENTAS DE PT STD</t>
  </si>
  <si>
    <t>BALANCE</t>
  </si>
  <si>
    <t>500 XX XXXX</t>
  </si>
  <si>
    <t>RECIBOS DE M. PRIMA</t>
  </si>
  <si>
    <t>GASTOS DE FABRICACIÓN</t>
  </si>
  <si>
    <t>WIP DISPONIBLE</t>
  </si>
  <si>
    <t>VARIACIÓN EN USO M. PRIMA</t>
  </si>
  <si>
    <t>VARIACIÓN EN GASTOS</t>
  </si>
  <si>
    <t>(CADA CENTRO DE COSTOS)</t>
  </si>
  <si>
    <t>GASTOS DEPARTAMENTALES</t>
  </si>
  <si>
    <t>SUELDOS</t>
  </si>
  <si>
    <t>BENEFICIOS</t>
  </si>
  <si>
    <t>ARTS OFICINA</t>
  </si>
  <si>
    <t>ELECTRICIDAD</t>
  </si>
  <si>
    <t>COMBUSTIBLES</t>
  </si>
  <si>
    <t>FLETES</t>
  </si>
  <si>
    <t>HONORARIOS</t>
  </si>
  <si>
    <t>ARRENDAMIENTO</t>
  </si>
  <si>
    <t>SERVICIOS</t>
  </si>
  <si>
    <t>DEPRECIACION</t>
  </si>
  <si>
    <t>ETC…</t>
  </si>
  <si>
    <t xml:space="preserve">DISTRIBUCION DE GASTOS </t>
  </si>
  <si>
    <t xml:space="preserve">A LAS  AREAS DE MFRA </t>
  </si>
  <si>
    <t>ESPUMA</t>
  </si>
  <si>
    <t>CARGO X SISTEMAS</t>
  </si>
  <si>
    <t>CARGO X REC. HUM.</t>
  </si>
  <si>
    <t>CARGO X COMPRAS</t>
  </si>
  <si>
    <t>CARGO X CONTABILIDAD</t>
  </si>
  <si>
    <t>CIERRA Vs GTS FABRICACION</t>
  </si>
  <si>
    <t>COSTURA</t>
  </si>
  <si>
    <t>CAJAS….ETC…</t>
  </si>
  <si>
    <t xml:space="preserve">CIERRE DE GASTOS </t>
  </si>
  <si>
    <t>A TRABAJO EN PROCESO</t>
  </si>
  <si>
    <t>CUENTAS DEL COSTO</t>
  </si>
  <si>
    <t xml:space="preserve">500 01 </t>
  </si>
  <si>
    <t>COSTO VENTAS A ESTANDAR</t>
  </si>
  <si>
    <t>0101</t>
  </si>
  <si>
    <t>VARIACION EN USO</t>
  </si>
  <si>
    <t>0102</t>
  </si>
  <si>
    <t>VARIACION EN PRECIO</t>
  </si>
  <si>
    <t>0103</t>
  </si>
  <si>
    <t>VARIACION EN GASTOS</t>
  </si>
  <si>
    <t>0104</t>
  </si>
  <si>
    <t>CAMBIOS DEL STANDARD</t>
  </si>
  <si>
    <t>Variación en Precio de MP</t>
  </si>
  <si>
    <t>CIERRE DE PRODUCCION</t>
  </si>
  <si>
    <t>CUENTAS DE COSTO DE LO VENDIDO</t>
  </si>
  <si>
    <t>INV. DE MATERIA PRIMA</t>
  </si>
  <si>
    <t>INV. DE TRABAJO EN PROCESO</t>
  </si>
  <si>
    <t>INV. DE PRODUCTO TERMINADO</t>
  </si>
  <si>
    <t>500 10 XXXX</t>
  </si>
  <si>
    <t>500 20 XXXX</t>
  </si>
  <si>
    <t>POR LINEA DE NEGODIO</t>
  </si>
  <si>
    <t>CUENTAS DE GASTOS DE ADMON</t>
  </si>
  <si>
    <t>GASTOS DE ADMON</t>
  </si>
  <si>
    <t>600 XX XXXX</t>
  </si>
  <si>
    <t xml:space="preserve">600 01 </t>
  </si>
  <si>
    <t>CUENTAS DE GASTOS DE VENTA</t>
  </si>
  <si>
    <t>610 XX XXXX</t>
  </si>
  <si>
    <t xml:space="preserve">610 01 </t>
  </si>
  <si>
    <t>GASTOS DEPARTAMENTALES DE ADMON</t>
  </si>
  <si>
    <t>GASTOS DEPARTAMENTALES DE VENTA</t>
  </si>
  <si>
    <t>CUENTAS DE VENTAS</t>
  </si>
  <si>
    <t>VENTAS REALES POR LINEA</t>
  </si>
  <si>
    <t>400 XX XXXX</t>
  </si>
  <si>
    <t xml:space="preserve">400 01 </t>
  </si>
  <si>
    <t>500 01 XXXX</t>
  </si>
  <si>
    <t>APLICACIONES AL COSTO DE MFRA Y DE LO VENDIDO</t>
  </si>
  <si>
    <t>INV MATERIA PRIMA</t>
  </si>
  <si>
    <t>(*a)</t>
  </si>
  <si>
    <t>INV INIC MATERIAS PRIMAS</t>
  </si>
  <si>
    <t>Variación x cambio de std</t>
  </si>
  <si>
    <t>(*b)</t>
  </si>
  <si>
    <t>Variación en precio MP</t>
  </si>
  <si>
    <t>(*1)</t>
  </si>
  <si>
    <t>TRANSFERENCIS RECIBIDAS</t>
  </si>
  <si>
    <t>AJUSTES FINANCIEROS</t>
  </si>
  <si>
    <t>(+ / -)</t>
  </si>
  <si>
    <t>Aplicaciones Fuera de mfra.</t>
  </si>
  <si>
    <t>TRANSFERENCIAS ENVIADAS</t>
  </si>
  <si>
    <t>INV FINAL DE MATERIAS PRIMAS</t>
  </si>
  <si>
    <t>INV TRABAJO EN PROCESO</t>
  </si>
  <si>
    <t>GASTOS REALES DE FABRICACION</t>
  </si>
  <si>
    <t>VARIACION EN USO DE MATERIA PRIMA</t>
  </si>
  <si>
    <t>(*c)</t>
  </si>
  <si>
    <t>Variación en uso MP</t>
  </si>
  <si>
    <t>VARIACION EN GASTOS DE FABRICACION</t>
  </si>
  <si>
    <t>(*d)</t>
  </si>
  <si>
    <t>Variación en gastos de fabricación</t>
  </si>
  <si>
    <t>INV DEPRODUCTO TERMINADO</t>
  </si>
  <si>
    <t>INV INIC PROD. TERMINADO</t>
  </si>
  <si>
    <t>RECIBOS PROD. TERMINADO</t>
  </si>
  <si>
    <t>RECIBOS DE TRANSFERENCIAS DE PROD. TERMINADO</t>
  </si>
  <si>
    <t>TRANSFERENCIAS DE PROD. TERMINADOS</t>
  </si>
  <si>
    <t>PROD. TERMINADOS VENDIDO</t>
  </si>
  <si>
    <t>Ventas a estándar</t>
  </si>
  <si>
    <t>INVENTARIO FINAL DE PROD. TERMINADO</t>
  </si>
  <si>
    <t>ESTADO DE RESULTADOS</t>
  </si>
  <si>
    <t>IMPORTE</t>
  </si>
  <si>
    <t>400 XX VENTAS</t>
  </si>
  <si>
    <t>VENTAS</t>
  </si>
  <si>
    <t>500 XX COSTO DE VENTAS</t>
  </si>
  <si>
    <t>COSTO DE VENTAS A ESTANDAR</t>
  </si>
  <si>
    <t>VARIACIÓN EN PRECIO M. PRIMAS</t>
  </si>
  <si>
    <t>CAMBIO DE ESTANDAR</t>
  </si>
  <si>
    <t>VARIACIÓN EN USO DE MAT. PRIMA</t>
  </si>
  <si>
    <t>VARIACIÓN EN GASTOS DE FABRICACIÓN</t>
  </si>
  <si>
    <t>UTILIDAD BRUTA</t>
  </si>
  <si>
    <t>(-) FAVORABLE</t>
  </si>
  <si>
    <t>TOTAL COSTO DE LO VENDIDO</t>
  </si>
  <si>
    <t>GASTOS DE VENTA</t>
  </si>
  <si>
    <t>UTILIDAD DE OPERACÓN</t>
  </si>
  <si>
    <t>600 01 XXXX GTS ADMON</t>
  </si>
  <si>
    <t>610 01 XXXX GTS VENTAS</t>
  </si>
  <si>
    <t>FLUJO CONTABLE EN LA DETERMINACIÓN DEL COSTO DE LO VENDIDO</t>
  </si>
  <si>
    <t>CUENTA</t>
  </si>
  <si>
    <t>Código</t>
  </si>
  <si>
    <t>DESCRIPCIÓN CUENTA</t>
  </si>
  <si>
    <t>C /A</t>
  </si>
  <si>
    <t>REPORTE DEL ESTADO DEL COSTO DE LA PRODUCCIÓN Y DE LO VENDIDO</t>
  </si>
  <si>
    <t>RECIBOS POR CONSUMOS DE M. PRIMA A ESTÁNDAR</t>
  </si>
  <si>
    <t>CONSUMOS DE MATERIA PRIMA AL PROCESO A ESTANDAR</t>
  </si>
  <si>
    <t>PRODUCCIÓN DE PRODUCTO TERMINADO A STD</t>
  </si>
  <si>
    <t>(*5)</t>
  </si>
  <si>
    <t>A</t>
  </si>
  <si>
    <t>Deben ser aprobados x Finanzas</t>
  </si>
  <si>
    <t>CIERRE DE GASTOSGASTOS REALES DE FABRICACION</t>
  </si>
  <si>
    <t>INVENTARIO FINAL EN WIP</t>
  </si>
  <si>
    <t>MATERIALES UTILIZADOS PROCESO</t>
  </si>
  <si>
    <t>INVENTARIO INICIAL WIP</t>
  </si>
  <si>
    <t>TOTAL MFRA</t>
  </si>
  <si>
    <t>COSTO DE PRODUCCIÓN REAL</t>
  </si>
  <si>
    <t>CTS X LINEA DE NEGOCIO</t>
  </si>
  <si>
    <t>Por linea de negocios</t>
  </si>
  <si>
    <t>MODELO DEL ESTADO DE RESULTADOS DE MANUFACTURA</t>
  </si>
  <si>
    <t>COSTO DE MANUFACTURA</t>
  </si>
  <si>
    <t>SADA</t>
  </si>
  <si>
    <t>UTILIDAD</t>
  </si>
  <si>
    <t>LINEA DE NEGOCIOS</t>
  </si>
  <si>
    <t>CENTROS DE COSTO</t>
  </si>
  <si>
    <t>ELEMENTO- COSTO</t>
  </si>
  <si>
    <t>GDL</t>
  </si>
  <si>
    <t>ADMON</t>
  </si>
  <si>
    <t>DISTRIB</t>
  </si>
  <si>
    <t>PUBLICIDAD</t>
  </si>
  <si>
    <t xml:space="preserve"> </t>
  </si>
  <si>
    <t>MATERIALES</t>
  </si>
  <si>
    <t>X</t>
  </si>
  <si>
    <t>COGM</t>
  </si>
  <si>
    <t>Gastos directos</t>
  </si>
  <si>
    <t>Gastos indirectos</t>
  </si>
  <si>
    <t>% Allocat</t>
  </si>
  <si>
    <t>CORTE DE ESPUMA</t>
  </si>
  <si>
    <t>PT</t>
  </si>
  <si>
    <t>%</t>
  </si>
  <si>
    <t>COLCHONES PARA SET</t>
  </si>
  <si>
    <t>COLCHONES</t>
  </si>
  <si>
    <t>* Disttribución Basada en %'s estándar de las áreas soporte.</t>
  </si>
  <si>
    <t>GASTOS DE OPERACIÓN</t>
  </si>
  <si>
    <t>COSTO DE LO VENDIDO - COGS</t>
  </si>
  <si>
    <t>ESTADO DE RESULTADOS - VENTAS</t>
  </si>
  <si>
    <t>UREBLOCK</t>
  </si>
  <si>
    <t>MODELO DEL SISTEMA DE COSTOS DE MANUFACTURA</t>
  </si>
  <si>
    <t>COSTO TOTAL MANUFACTURA</t>
  </si>
  <si>
    <t>MANO DE OBRA</t>
  </si>
  <si>
    <t>COSTO DIRECTOS</t>
  </si>
  <si>
    <t>DIST. GTS AREAS SOPORTE</t>
  </si>
  <si>
    <t>COSTO REAL DE LABOR Y GASTOS</t>
  </si>
  <si>
    <t>COSTO REAL DE MATERIALES</t>
  </si>
  <si>
    <t>$ Rate/Gastos por  HH ó HM</t>
  </si>
  <si>
    <t xml:space="preserve"> $ MATERIALES IMPORTADOS</t>
  </si>
  <si>
    <t xml:space="preserve"> $MATERIALES NACIONALES</t>
  </si>
  <si>
    <t>Total HM ó HH</t>
  </si>
  <si>
    <t>Plan Produccion</t>
  </si>
  <si>
    <t>COSTO ESTANDAR UNITARIO</t>
  </si>
  <si>
    <t>HH ó HM  por unidad</t>
  </si>
  <si>
    <t>$  Gts X Unidad</t>
  </si>
  <si>
    <t xml:space="preserve"> +</t>
  </si>
  <si>
    <t>$  MP X Unidad</t>
  </si>
  <si>
    <t xml:space="preserve"> &lt;=</t>
  </si>
  <si>
    <t>$ Costo X unidad</t>
  </si>
  <si>
    <r>
      <t xml:space="preserve">Cant. Ensamble X </t>
    </r>
    <r>
      <rPr>
        <b/>
        <sz val="11"/>
        <color indexed="8"/>
        <rFont val="Calibri"/>
        <family val="2"/>
      </rPr>
      <t>$ Mat Prima</t>
    </r>
  </si>
  <si>
    <t>HH</t>
  </si>
  <si>
    <t>Horas Hombre</t>
  </si>
  <si>
    <t>MP</t>
  </si>
  <si>
    <t>Materia Prima</t>
  </si>
  <si>
    <t>HM</t>
  </si>
  <si>
    <t>Horas Maquina</t>
  </si>
  <si>
    <t>MP EN WIP</t>
  </si>
  <si>
    <t>GTS EN WIP</t>
  </si>
  <si>
    <t>EXCEL</t>
  </si>
  <si>
    <t>APLICACIÓN DEL COSTO X LINEA EN EXCEL</t>
  </si>
  <si>
    <t>UNIDAD DE NEGOCIO</t>
  </si>
  <si>
    <t>CUENTA MAYOR</t>
  </si>
  <si>
    <t>N  D</t>
  </si>
  <si>
    <t>V  c</t>
  </si>
  <si>
    <t>XXXXX</t>
  </si>
  <si>
    <t>500</t>
  </si>
  <si>
    <t>COSTO DE VENTAS</t>
  </si>
  <si>
    <t>5</t>
  </si>
  <si>
    <t>N</t>
  </si>
  <si>
    <t>01</t>
  </si>
  <si>
    <t>6</t>
  </si>
  <si>
    <t>400</t>
  </si>
  <si>
    <t>02</t>
  </si>
  <si>
    <t>03</t>
  </si>
  <si>
    <t>04</t>
  </si>
  <si>
    <t>05</t>
  </si>
  <si>
    <t>06</t>
  </si>
  <si>
    <t>07</t>
  </si>
  <si>
    <t>08</t>
  </si>
  <si>
    <t>10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</si>
  <si>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</si>
  <si>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</si>
  <si>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</si>
  <si>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</si>
  <si>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</si>
  <si>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</si>
  <si>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</si>
  <si>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</si>
  <si>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</si>
  <si>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</si>
  <si>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</si>
  <si>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</si>
  <si>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</si>
  <si>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</si>
  <si>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</si>
  <si>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</si>
  <si>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VARIACIONES DEL COSTO STANDARD</t>
  </si>
  <si>
    <t>20</t>
  </si>
  <si>
    <t>7</t>
  </si>
  <si>
    <t>8</t>
  </si>
  <si>
    <t>90</t>
  </si>
  <si>
    <t>1</t>
  </si>
  <si>
    <t>ACTIVOS</t>
  </si>
  <si>
    <t>3</t>
  </si>
  <si>
    <t>ACTIVO CIRCULANTE</t>
  </si>
  <si>
    <t>4</t>
  </si>
  <si>
    <t>100</t>
  </si>
  <si>
    <t>EFECTIVO EN CAJA</t>
  </si>
  <si>
    <t>EFECTIVO EN CAJA MN</t>
  </si>
  <si>
    <t>105</t>
  </si>
  <si>
    <t>BANCOS</t>
  </si>
  <si>
    <t>BANCO MN</t>
  </si>
  <si>
    <t>HSBC MN</t>
  </si>
  <si>
    <t>010101</t>
  </si>
  <si>
    <t>010102</t>
  </si>
  <si>
    <t>010103</t>
  </si>
  <si>
    <t>BANCOMER MN</t>
  </si>
  <si>
    <t>010201</t>
  </si>
  <si>
    <t>010202</t>
  </si>
  <si>
    <t>010203</t>
  </si>
  <si>
    <t>BANAMEX MN</t>
  </si>
  <si>
    <t>010301</t>
  </si>
  <si>
    <t>BANCO USD</t>
  </si>
  <si>
    <t>0201</t>
  </si>
  <si>
    <t>HSBC USD</t>
  </si>
  <si>
    <t>020101</t>
  </si>
  <si>
    <t>0202</t>
  </si>
  <si>
    <t>BANCOMER USD</t>
  </si>
  <si>
    <t>020201</t>
  </si>
  <si>
    <t>0203</t>
  </si>
  <si>
    <t>BANAMEX USD</t>
  </si>
  <si>
    <t>020301</t>
  </si>
  <si>
    <t>0204</t>
  </si>
  <si>
    <t>CITYBANK USD</t>
  </si>
  <si>
    <t>020401</t>
  </si>
  <si>
    <t>115</t>
  </si>
  <si>
    <t>CLIENTES</t>
  </si>
  <si>
    <t>99</t>
  </si>
  <si>
    <t>120</t>
  </si>
  <si>
    <t>RESERVA P/CTAS INCOBRABLES</t>
  </si>
  <si>
    <t>125</t>
  </si>
  <si>
    <t>DEUDORES DIVERSOS</t>
  </si>
  <si>
    <t>DEUDORES DIV CON ACT EMP</t>
  </si>
  <si>
    <t>M</t>
  </si>
  <si>
    <t>130</t>
  </si>
  <si>
    <t xml:space="preserve">ANTICIPO A PROVEEDORES </t>
  </si>
  <si>
    <t>135</t>
  </si>
  <si>
    <t>INVENTARIOS</t>
  </si>
  <si>
    <t>EPS</t>
  </si>
  <si>
    <t>0205</t>
  </si>
  <si>
    <t>0206</t>
  </si>
  <si>
    <t>0207</t>
  </si>
  <si>
    <t>0208</t>
  </si>
  <si>
    <t>PRODUCTO TERMINADO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</si>
  <si>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</si>
  <si>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</si>
  <si>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</si>
  <si>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</si>
  <si>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</si>
  <si>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</si>
  <si>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</si>
  <si>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</si>
  <si>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</si>
  <si>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</si>
  <si>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</si>
  <si>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EFECTOS DE ACTUALIZACIÓN</t>
  </si>
  <si>
    <t>140</t>
  </si>
  <si>
    <t>IMPUESTO AL VALOR AGREGADO</t>
  </si>
  <si>
    <t>IVA POR ACREDITAR</t>
  </si>
  <si>
    <t>IVA PAGADO</t>
  </si>
  <si>
    <t>145</t>
  </si>
  <si>
    <t>IMPUESTOS PAGADOS X ANT</t>
  </si>
  <si>
    <t>16</t>
  </si>
  <si>
    <t>ACTIVO FIJO</t>
  </si>
  <si>
    <t>160</t>
  </si>
  <si>
    <t>INVERSIONES EN ACCIONES</t>
  </si>
  <si>
    <t>TIMLE</t>
  </si>
  <si>
    <t>165</t>
  </si>
  <si>
    <t>INVERSIONES EN ACTIVO FIJO</t>
  </si>
  <si>
    <t>EDIFICIOS</t>
  </si>
  <si>
    <t>9901</t>
  </si>
  <si>
    <t>9902</t>
  </si>
  <si>
    <t>9903</t>
  </si>
  <si>
    <t>9904</t>
  </si>
  <si>
    <t>9905</t>
  </si>
  <si>
    <t>9906</t>
  </si>
  <si>
    <t>9907</t>
  </si>
  <si>
    <t>170</t>
  </si>
  <si>
    <t>DEPN ACUMULADA DE ACTIVO</t>
  </si>
  <si>
    <t>18</t>
  </si>
  <si>
    <t>ACTIVO DIFERIDO</t>
  </si>
  <si>
    <t>180</t>
  </si>
  <si>
    <t>CARGOS DIFERIDOS</t>
  </si>
  <si>
    <t>DEPÓSITOS EN GARANTÍA</t>
  </si>
  <si>
    <t>185</t>
  </si>
  <si>
    <t>AMORT ACUM DE CARGOS DIFE</t>
  </si>
  <si>
    <t>190</t>
  </si>
  <si>
    <t>GASTOS PAGADOS POR ANTICI</t>
  </si>
  <si>
    <t>2</t>
  </si>
  <si>
    <t>PASIVO</t>
  </si>
  <si>
    <t>PASIVO A CORTO PLAZO</t>
  </si>
  <si>
    <t>200</t>
  </si>
  <si>
    <t>SUELDOS POR PAGAR</t>
  </si>
  <si>
    <t>PTU</t>
  </si>
  <si>
    <t>205</t>
  </si>
  <si>
    <t>IMPUESTOS POR PAGAR</t>
  </si>
  <si>
    <t>IMSS</t>
  </si>
  <si>
    <t>IMPUESTOS ESTATALES</t>
  </si>
  <si>
    <t>IMPUESTOS FEDERALES</t>
  </si>
  <si>
    <t>ISR</t>
  </si>
  <si>
    <t>IETU</t>
  </si>
  <si>
    <t>IDE</t>
  </si>
  <si>
    <t>ISR RETENIDO</t>
  </si>
  <si>
    <t>0401</t>
  </si>
  <si>
    <t>0402</t>
  </si>
  <si>
    <t>0403</t>
  </si>
  <si>
    <t>0404</t>
  </si>
  <si>
    <t>IVA TRASLADADO</t>
  </si>
  <si>
    <t>0501</t>
  </si>
  <si>
    <t>IVA POR PAGAR</t>
  </si>
  <si>
    <t>050101</t>
  </si>
  <si>
    <t>050102</t>
  </si>
  <si>
    <t>0502</t>
  </si>
  <si>
    <t>IVA POR PAGAR COBRADO</t>
  </si>
  <si>
    <t>050201</t>
  </si>
  <si>
    <t>050202</t>
  </si>
  <si>
    <t>IVA RETENIDO</t>
  </si>
  <si>
    <t>0601</t>
  </si>
  <si>
    <t>0602</t>
  </si>
  <si>
    <t>0603</t>
  </si>
  <si>
    <t>210</t>
  </si>
  <si>
    <t>CRÉDITOS BANCARIOS</t>
  </si>
  <si>
    <t>225</t>
  </si>
  <si>
    <t>PROVEEDORES</t>
  </si>
  <si>
    <t>EFECTO DE REVALUACION</t>
  </si>
  <si>
    <t>230</t>
  </si>
  <si>
    <t>235</t>
  </si>
  <si>
    <t>240</t>
  </si>
  <si>
    <t>245</t>
  </si>
  <si>
    <t>27</t>
  </si>
  <si>
    <t>PASIVO A LARGO PLAZO</t>
  </si>
  <si>
    <t>285</t>
  </si>
  <si>
    <t>ISR DIFERIDO</t>
  </si>
  <si>
    <t>CAPITAL</t>
  </si>
  <si>
    <t>30</t>
  </si>
  <si>
    <t>CAPITAL CONTABLE</t>
  </si>
  <si>
    <t>300</t>
  </si>
  <si>
    <t>CAPITAL SOCIAL</t>
  </si>
  <si>
    <t>310</t>
  </si>
  <si>
    <t>RESERVA LEGAL</t>
  </si>
  <si>
    <t>315</t>
  </si>
  <si>
    <t>320</t>
  </si>
  <si>
    <t>RESULTADO DEL EJERCICIO</t>
  </si>
  <si>
    <t>325</t>
  </si>
  <si>
    <t>CORRECCIÓN POR REEXPRESIÓN</t>
  </si>
  <si>
    <t>330</t>
  </si>
  <si>
    <t>335</t>
  </si>
  <si>
    <t>IMPUESTOS DIFERIDOS (D-4)</t>
  </si>
  <si>
    <t>340</t>
  </si>
  <si>
    <t>RESULTADOS ACREEDORAS</t>
  </si>
  <si>
    <t>40</t>
  </si>
  <si>
    <t>INGRESOS</t>
  </si>
  <si>
    <t>450</t>
  </si>
  <si>
    <t>DEVOLUCIONES S/VENTA</t>
  </si>
  <si>
    <t>DESCUENTOS S/VENTA</t>
  </si>
  <si>
    <t>0209</t>
  </si>
  <si>
    <t>0210</t>
  </si>
  <si>
    <t>0211</t>
  </si>
  <si>
    <t>50</t>
  </si>
  <si>
    <t>EGRESOS</t>
  </si>
  <si>
    <t>510</t>
  </si>
  <si>
    <t>0405</t>
  </si>
  <si>
    <t>0503</t>
  </si>
  <si>
    <t>0504</t>
  </si>
  <si>
    <t>0505</t>
  </si>
  <si>
    <t>60</t>
  </si>
  <si>
    <t>600</t>
  </si>
  <si>
    <t>0121</t>
  </si>
  <si>
    <t>601</t>
  </si>
  <si>
    <t>70</t>
  </si>
  <si>
    <t>OTROS INGRESOS Y GASTOS</t>
  </si>
  <si>
    <t>700</t>
  </si>
  <si>
    <t>OTROS INGRESOS</t>
  </si>
  <si>
    <t>OTROS INGRESOS NO ACUMULABLES</t>
  </si>
  <si>
    <t>OTROS INGRESOS DIVERSOS</t>
  </si>
  <si>
    <t>710</t>
  </si>
  <si>
    <t>OTROS GASTOS</t>
  </si>
  <si>
    <t>80</t>
  </si>
  <si>
    <t>800</t>
  </si>
  <si>
    <t>PRODUCTOS FINANCIEROS</t>
  </si>
  <si>
    <t>INTERESES A FAVOR</t>
  </si>
  <si>
    <t>UTILIDAD CAMBIARIA</t>
  </si>
  <si>
    <t>GASTOS FINANCIEROS</t>
  </si>
  <si>
    <t>INTERESES A CARGO</t>
  </si>
  <si>
    <t>020102</t>
  </si>
  <si>
    <t>PERDIDAS CAMBIARIAS</t>
  </si>
  <si>
    <t>020202</t>
  </si>
  <si>
    <t>OTRAS PROVISIONES</t>
  </si>
  <si>
    <t>900</t>
  </si>
  <si>
    <t>PART EN RESULTADO SUBSIDIARIAS</t>
  </si>
  <si>
    <t>ISR/IETU DEL EJERCICIO</t>
  </si>
  <si>
    <t>0212</t>
  </si>
  <si>
    <t>0213</t>
  </si>
  <si>
    <t>0312</t>
  </si>
  <si>
    <t>0313</t>
  </si>
  <si>
    <t>Mantenimiento</t>
  </si>
  <si>
    <t>Ventas Espuma</t>
  </si>
  <si>
    <t>Ventas Carton</t>
  </si>
  <si>
    <t>501</t>
  </si>
  <si>
    <t>502</t>
  </si>
  <si>
    <t>Polietileno Espumado</t>
  </si>
  <si>
    <t>Empaque</t>
  </si>
  <si>
    <t>Telas</t>
  </si>
  <si>
    <t>Resortes</t>
  </si>
  <si>
    <t>0122</t>
  </si>
  <si>
    <t>0123</t>
  </si>
  <si>
    <t>0124</t>
  </si>
  <si>
    <t>0125</t>
  </si>
  <si>
    <t>0406</t>
  </si>
  <si>
    <t>0407</t>
  </si>
  <si>
    <t>0408</t>
  </si>
  <si>
    <t>0409</t>
  </si>
  <si>
    <t>0506</t>
  </si>
  <si>
    <t>0507</t>
  </si>
  <si>
    <t>0508</t>
  </si>
  <si>
    <t>0509</t>
  </si>
  <si>
    <t>Bancomer Cta  0446407072</t>
  </si>
  <si>
    <t>Bancomer Cta  0447766246</t>
  </si>
  <si>
    <t>Bancomer Cta  0160263192</t>
  </si>
  <si>
    <t>Banamex Cta 03512013510</t>
  </si>
  <si>
    <t>Espuma</t>
  </si>
  <si>
    <t>Carton</t>
  </si>
  <si>
    <t>Colchones</t>
  </si>
  <si>
    <t>Almohadas</t>
  </si>
  <si>
    <t>Cojines</t>
  </si>
  <si>
    <t>Edredones</t>
  </si>
  <si>
    <t>Varios</t>
  </si>
  <si>
    <t>Pagos Indebidos</t>
  </si>
  <si>
    <t>Terrenos</t>
  </si>
  <si>
    <t>Construcciones</t>
  </si>
  <si>
    <t>Obras En Proceso</t>
  </si>
  <si>
    <t>Maquinaria Y Equipo</t>
  </si>
  <si>
    <t>Edificios</t>
  </si>
  <si>
    <t>Mejoras Local Arrendado</t>
  </si>
  <si>
    <t>Sueldos</t>
  </si>
  <si>
    <t>Aguinaldos</t>
  </si>
  <si>
    <t>Cuotas Patronales Infonavit</t>
  </si>
  <si>
    <t>Retención Créditos Infonavit</t>
  </si>
  <si>
    <t>Impuesto Sobre Nomina</t>
  </si>
  <si>
    <t>Rentas Por Pagar</t>
  </si>
  <si>
    <t>Ventas Poliet Espumado</t>
  </si>
  <si>
    <t>Ventas Eps</t>
  </si>
  <si>
    <t>Ventas Empaque</t>
  </si>
  <si>
    <t>Ventas Colchones</t>
  </si>
  <si>
    <t>Ventas Almohadas</t>
  </si>
  <si>
    <t>Ventas Cojines</t>
  </si>
  <si>
    <t>Ventas Edredones</t>
  </si>
  <si>
    <t>Venta Resortes</t>
  </si>
  <si>
    <t>Ventas Varios</t>
  </si>
  <si>
    <t>Act. B-10 Ventas</t>
  </si>
  <si>
    <t>Devs S/Vtas Espuma</t>
  </si>
  <si>
    <t>Devs S/Vtas Poliet Espumado</t>
  </si>
  <si>
    <t>Devs S/Vtas Eps</t>
  </si>
  <si>
    <t>Devs S/Vtas Carton</t>
  </si>
  <si>
    <t>Devs S/Vtas Empaque</t>
  </si>
  <si>
    <t>Devs S/Vtas Colchones</t>
  </si>
  <si>
    <t>Devs S/Vtas Almohadas</t>
  </si>
  <si>
    <t>Devs S/Vtas Cojines</t>
  </si>
  <si>
    <t>Devs S/Vtas Edredones</t>
  </si>
  <si>
    <t>Devs S/Vtas Resortes</t>
  </si>
  <si>
    <t>Devs S/Vtas Tela</t>
  </si>
  <si>
    <t>Devs S/Vtas Varios</t>
  </si>
  <si>
    <t>Desctos S/Vtas Espuma</t>
  </si>
  <si>
    <t>Desctos S/Vtas Poliet Espumado</t>
  </si>
  <si>
    <t>Desctos S/Vtas Eps</t>
  </si>
  <si>
    <t>Desctos S/Vtas Carton</t>
  </si>
  <si>
    <t>Desctos S/Vtas Empaque</t>
  </si>
  <si>
    <t>Desctos S/Vtas Colchones</t>
  </si>
  <si>
    <t>Desctos S/Vtas Almohadas</t>
  </si>
  <si>
    <t>Desctos S/Vtas Cojines</t>
  </si>
  <si>
    <t>Desctos S/Vtas Edredones</t>
  </si>
  <si>
    <t>Desctos S/Vtas Resortes</t>
  </si>
  <si>
    <t>Desctos S/Vtas Tela</t>
  </si>
  <si>
    <t>Desctos S/Vtas Varios</t>
  </si>
  <si>
    <t>Act. B-10 Devs S/Vtas</t>
  </si>
  <si>
    <t>Act. B-10 Desctos S/Vtas</t>
  </si>
  <si>
    <t>GASTOS DIRECTOS DE FABRICACIÓN</t>
  </si>
  <si>
    <t>Materiales Indirectos</t>
  </si>
  <si>
    <t>Diversos</t>
  </si>
  <si>
    <t>No Deducibles</t>
  </si>
  <si>
    <t>Herramientas Y Equipos Menores</t>
  </si>
  <si>
    <t>Fletes Sin Ret</t>
  </si>
  <si>
    <t>Fletes Con Ret</t>
  </si>
  <si>
    <t>Seguros Y Fianzas</t>
  </si>
  <si>
    <t>Honorarios Sin Ret</t>
  </si>
  <si>
    <t>Honorarios Con Ret</t>
  </si>
  <si>
    <t>Gastos Aduanales</t>
  </si>
  <si>
    <t>Maquila</t>
  </si>
  <si>
    <t>Combustibles</t>
  </si>
  <si>
    <t>Energia Electrica</t>
  </si>
  <si>
    <t>Telefonos</t>
  </si>
  <si>
    <t xml:space="preserve">PRODUCCIÓN </t>
  </si>
  <si>
    <t>PRODUCCIÓN GENERAL</t>
  </si>
  <si>
    <t>Inventario Inicial En Proceso</t>
  </si>
  <si>
    <t>Inventario Final En Proceso</t>
  </si>
  <si>
    <t>Derechos Y Contribuciones</t>
  </si>
  <si>
    <t>Equipos Menores</t>
  </si>
  <si>
    <t>Mensajeria Y Paq Sin Ret</t>
  </si>
  <si>
    <t>Mensajeria Y Paq Con Ret</t>
  </si>
  <si>
    <t>Papeleria</t>
  </si>
  <si>
    <t>Otros Ings No Acumulables</t>
  </si>
  <si>
    <t>Intereses A Favor Bancos</t>
  </si>
  <si>
    <t>Intereses A Favor Otros</t>
  </si>
  <si>
    <t>Utilidad Cambiaria Realizada</t>
  </si>
  <si>
    <t>Intereses A Cargo Bancos</t>
  </si>
  <si>
    <t>Intereses A Cargo Otros</t>
  </si>
  <si>
    <t>Perdidas Cambiarias Realizadas</t>
  </si>
  <si>
    <t>Part En Resultado Subsidiarias</t>
  </si>
  <si>
    <t>Caja Chica Cd. Juarez</t>
  </si>
  <si>
    <t>Caja Chica Tecate</t>
  </si>
  <si>
    <t>Caja Chica Tesoreria</t>
  </si>
  <si>
    <t>Caja Chica Ventas</t>
  </si>
  <si>
    <t>Caja Chica Puebla</t>
  </si>
  <si>
    <t>Caja Chica Leon</t>
  </si>
  <si>
    <t>Caja Chica Monterrey</t>
  </si>
  <si>
    <t>Caja Chica Yucatan</t>
  </si>
  <si>
    <t>HSBC Cta 0320008686</t>
  </si>
  <si>
    <t>HSBC Cta 4020690418</t>
  </si>
  <si>
    <t>HSBC USD Cta 7000046326</t>
  </si>
  <si>
    <t>Bancomer USD Cta 0446407064</t>
  </si>
  <si>
    <t>Banamex USD Cta 3519420537</t>
  </si>
  <si>
    <t>Citybank USD Cta 36841354</t>
  </si>
  <si>
    <t>Depósitos En Garantía USD</t>
  </si>
  <si>
    <t>Deudores Con Act Emp MN</t>
  </si>
  <si>
    <t>Depósitos En Garantía MN</t>
  </si>
  <si>
    <t>Acreedores Diversos MN</t>
  </si>
  <si>
    <t>Efecto Cambiario</t>
  </si>
  <si>
    <t>Funcionarios y Empleados</t>
  </si>
  <si>
    <t>Cuenta Puente CxC y CxP</t>
  </si>
  <si>
    <t>Producción en Proceso</t>
  </si>
  <si>
    <t>Efecto de Actualización</t>
  </si>
  <si>
    <t>Anticipos de IETU</t>
  </si>
  <si>
    <t>Anticipos de ISR</t>
  </si>
  <si>
    <t>Bolsas de Plastico</t>
  </si>
  <si>
    <t>TQ1 de Mexico</t>
  </si>
  <si>
    <t>Equipo de Transporte</t>
  </si>
  <si>
    <t>Equipo de Oficina</t>
  </si>
  <si>
    <t>Equipo de Computo</t>
  </si>
  <si>
    <t>Equipo de Laboratorio</t>
  </si>
  <si>
    <t>Gastos de Instalación</t>
  </si>
  <si>
    <t>Efecto de Revaluacion</t>
  </si>
  <si>
    <t>Prima de Antigüedad (D-3)</t>
  </si>
  <si>
    <t>Ventas Bolsas de Plastico</t>
  </si>
  <si>
    <t>Venta de Tela</t>
  </si>
  <si>
    <t>Devs S/Vtas Bolsas de Plastico</t>
  </si>
  <si>
    <t>Costo de Ventas Espuma</t>
  </si>
  <si>
    <t>Costo de Ventas Eps</t>
  </si>
  <si>
    <t>Costo de Ventas Carton</t>
  </si>
  <si>
    <t>Costo de Ventas Empaque</t>
  </si>
  <si>
    <t>Costo de Ventas Colchones</t>
  </si>
  <si>
    <t>Costo de Ventas Almohadas</t>
  </si>
  <si>
    <t>Costo de Ventas Cojines</t>
  </si>
  <si>
    <t>Costo de Ventas Edredones</t>
  </si>
  <si>
    <t>Costo de Ventas Resortes</t>
  </si>
  <si>
    <t>Costo de Ventas Tela</t>
  </si>
  <si>
    <t>Costo de Ventas Varios</t>
  </si>
  <si>
    <t>Act. B-10 Costo de Ventas</t>
  </si>
  <si>
    <t>Eqpo de Proteccion Y Seguridad</t>
  </si>
  <si>
    <t>Pruebas de Laboratorio</t>
  </si>
  <si>
    <t>Arrendamiento de Equipos</t>
  </si>
  <si>
    <t>Arrendamiento de Inmuebles</t>
  </si>
  <si>
    <t>Impuestos de Importación</t>
  </si>
  <si>
    <t>Consumo de Mat Prima</t>
  </si>
  <si>
    <t>Gastos de Fabricacion Reales</t>
  </si>
  <si>
    <t>Costo Estandar de Lo Producido</t>
  </si>
  <si>
    <t>Variacion de M.O Al Proceso</t>
  </si>
  <si>
    <t>Variacion de Gastos Al Proceso</t>
  </si>
  <si>
    <t>Transporte de Personal</t>
  </si>
  <si>
    <t>Gastos de Viaje</t>
  </si>
  <si>
    <t>Gastos de Exportacion</t>
  </si>
  <si>
    <t>Actualizacion de Impuestos</t>
  </si>
  <si>
    <t>Efectos de Actualización</t>
  </si>
  <si>
    <t>Vantex SA de CV</t>
  </si>
  <si>
    <t>Mejoras en Locales Arrendados</t>
  </si>
  <si>
    <t>Gastos de Instalacion</t>
  </si>
  <si>
    <t>Amort Gastos de Instalac</t>
  </si>
  <si>
    <t>Amort Mejoras Local Arre</t>
  </si>
  <si>
    <t>Seguro Pagado Por Antici</t>
  </si>
  <si>
    <t>Rentas Pagadas Por Antici</t>
  </si>
  <si>
    <t>Cuotas IMSS</t>
  </si>
  <si>
    <t>Aportación a Afores</t>
  </si>
  <si>
    <t>ISR Ret Honorarios</t>
  </si>
  <si>
    <t>ISR Ret Arrendamiento</t>
  </si>
  <si>
    <t>ISR Ret Por Bancos</t>
  </si>
  <si>
    <t>ISR Ret A Extranjeros</t>
  </si>
  <si>
    <t>ISR Diferido (D-4)</t>
  </si>
  <si>
    <t>ISR Del Ejercicio</t>
  </si>
  <si>
    <t>IETU Del Ejercicio</t>
  </si>
  <si>
    <t>IVA X Acreditar 16%</t>
  </si>
  <si>
    <t>IVA X Acreditar 11%</t>
  </si>
  <si>
    <t>IVA Pagado 16%</t>
  </si>
  <si>
    <t>IVA Pagado 11%</t>
  </si>
  <si>
    <t>IVA Por Pagar Tasa 16%</t>
  </si>
  <si>
    <t>IVA Por Pagar Tasa 11%</t>
  </si>
  <si>
    <t>IVA Por Pagar Cobrado Tasa 16%</t>
  </si>
  <si>
    <t>IVA Por Pagar Cobrado Tasa 11%</t>
  </si>
  <si>
    <t>IVA Ret Honorarios</t>
  </si>
  <si>
    <t>IVA Ret Arrendamiento</t>
  </si>
  <si>
    <t>IVA Ret Fletes</t>
  </si>
  <si>
    <t>Otros Ingresos Diversos 0% IVA</t>
  </si>
  <si>
    <t>Credito Bancario MN</t>
  </si>
  <si>
    <t>Credito Bancario USD</t>
  </si>
  <si>
    <t>PASIVOS POR DISTRIBUIR</t>
  </si>
  <si>
    <t>ISR Diferido</t>
  </si>
  <si>
    <t>Act. B-10 Capital Social</t>
  </si>
  <si>
    <t>Act. B-10 Reserva Legal</t>
  </si>
  <si>
    <t>Reserva Legal</t>
  </si>
  <si>
    <t>Res De Ejercicios Anteriores</t>
  </si>
  <si>
    <t>Resultado del Ejercicio</t>
  </si>
  <si>
    <t>Corrección Por Reexpresión</t>
  </si>
  <si>
    <t>Act. B-10 Gastos de Venta</t>
  </si>
  <si>
    <t>Gastos Por Distribuir</t>
  </si>
  <si>
    <t>Act. B-10 Gtos Y/O Prod Financ</t>
  </si>
  <si>
    <t>PTU Del Ejercicio</t>
  </si>
  <si>
    <t>REPOMO Del Ejercicio</t>
  </si>
  <si>
    <t>Descripción de cuenta</t>
  </si>
  <si>
    <t>ANTICIPO DE CLIENTES</t>
  </si>
  <si>
    <t>ACREEDORES DIVERSOS</t>
  </si>
  <si>
    <t>Obj</t>
  </si>
  <si>
    <t>0199</t>
  </si>
  <si>
    <t>Largo</t>
  </si>
  <si>
    <t>Act. B-10 Res Ejercicios Ant.</t>
  </si>
  <si>
    <t>Act. B-10 Res Del Ejercicio</t>
  </si>
  <si>
    <t>RESULTADO EJERCICIOS ANT.</t>
  </si>
  <si>
    <t>GASTOS DE ADMON. DE PLANTA</t>
  </si>
  <si>
    <t>Depr. y Amortizaciones</t>
  </si>
  <si>
    <t>Act. B-10 Gtos. Fabric. Planta</t>
  </si>
  <si>
    <t>GASTOS DE ADMON CORPORATIVO</t>
  </si>
  <si>
    <t>Act. B-10 Gastos de Admon.</t>
  </si>
  <si>
    <t>OTR. INGS. x VTA. ACTIVOS FIJ.</t>
  </si>
  <si>
    <t>Otr. Ingresos Diversos 16% IVA</t>
  </si>
  <si>
    <t>Otr. Ingresos Diversos 11% IVA</t>
  </si>
  <si>
    <t>Costo Ventas De Activos Fijos</t>
  </si>
  <si>
    <t>COSTO INTEGRAL FINANCIAMIENTO</t>
  </si>
  <si>
    <t>GASTOS Y/O PRODUCTOS FINAN.</t>
  </si>
  <si>
    <t>Utilidad Cambiaria No Realiz.</t>
  </si>
  <si>
    <t>Perdidas Cambiarias No Realiz.</t>
  </si>
  <si>
    <t>Otr. Ings Vta Activo F 16% IVA</t>
  </si>
  <si>
    <t>Otr. Ings Vta Activo F 11% IVA</t>
  </si>
  <si>
    <t>Variacion Materiales Proceso</t>
  </si>
  <si>
    <t>M.O. Directa (Inc. Beneficios)</t>
  </si>
  <si>
    <t>EXCESO E INSUF. CAPITAL CONTAB</t>
  </si>
  <si>
    <t>Exceso e Insuf. Capital Contab</t>
  </si>
  <si>
    <t>IMPUESTOS DIFERIDOS BOLETÍN D4</t>
  </si>
  <si>
    <t>Act. B-10 Imp. Diferido (D-4)</t>
  </si>
  <si>
    <t>PRIMA X SUSCRIPCION ACCIONES</t>
  </si>
  <si>
    <t>Prima X Suscripcion Acciones</t>
  </si>
  <si>
    <t>Desctos S/Vtas Bolsas Plastico</t>
  </si>
  <si>
    <t>Costo Ventas Poliet Espumado</t>
  </si>
  <si>
    <t>Costo Ventas Bolsa de Plastico</t>
  </si>
  <si>
    <t>Cierre Gastos x Centro Costos</t>
  </si>
  <si>
    <t>Capital Social Variable</t>
  </si>
  <si>
    <t>Capital Social Fijo</t>
  </si>
  <si>
    <t>VARIACIONES EN USO</t>
  </si>
  <si>
    <t>VARIACIONES EN PRECIO</t>
  </si>
  <si>
    <t>VARIACIONES EN GASTOS</t>
  </si>
  <si>
    <t>VARIACIONES EN M.O.</t>
  </si>
  <si>
    <t>0410</t>
  </si>
  <si>
    <t>0411</t>
  </si>
  <si>
    <t>0412</t>
  </si>
  <si>
    <t>0413</t>
  </si>
  <si>
    <t>0510</t>
  </si>
  <si>
    <t>0511</t>
  </si>
  <si>
    <t>0512</t>
  </si>
  <si>
    <t>0513</t>
  </si>
  <si>
    <t>VENTAS 16%</t>
  </si>
  <si>
    <t>VENTAS 11%</t>
  </si>
  <si>
    <t>VENTAS EXPORTACION</t>
  </si>
  <si>
    <t>460</t>
  </si>
  <si>
    <t>DEVOLUCIONES S/VENTA 16%</t>
  </si>
  <si>
    <t>DEVOLUCIONES S/VENTA 11%</t>
  </si>
  <si>
    <t>DEVOLUCIONES S/VENTA EXPORT</t>
  </si>
  <si>
    <t>DESCUENTOS S/VENTA 16%</t>
  </si>
  <si>
    <t>DESCUENTOS S/VENTA 11%</t>
  </si>
  <si>
    <t>DESCUENTOS S/VENTA EXPORT</t>
  </si>
  <si>
    <t>COSTO DE VENTAS 16%</t>
  </si>
  <si>
    <t>COSTO DE VENTAS 11%</t>
  </si>
  <si>
    <t>COSTO DE VENTAS EXPORT</t>
  </si>
  <si>
    <t>Caja Chica Fabric Telas</t>
  </si>
  <si>
    <t>Moldes y Troqueles</t>
  </si>
  <si>
    <t>9908</t>
  </si>
  <si>
    <t>Impuesto Cedular</t>
  </si>
  <si>
    <t>010302</t>
  </si>
  <si>
    <t>Banamex Cta 0687004</t>
  </si>
  <si>
    <t>IVA RETENIDO CE</t>
  </si>
  <si>
    <t>IVA Ret CE 16%</t>
  </si>
  <si>
    <t>IVA Ret CE 11%</t>
  </si>
  <si>
    <t>IVA Ret 4%</t>
  </si>
  <si>
    <t>ISR amarre VS ISR Contable</t>
  </si>
  <si>
    <t>Gratificaciones</t>
  </si>
  <si>
    <t>Prima Vacacional</t>
  </si>
  <si>
    <t>CXC a Empleados Multas</t>
  </si>
  <si>
    <t>Prestamo a Empleados</t>
  </si>
  <si>
    <t>DESCUENTOS S/COMPRA</t>
  </si>
  <si>
    <t>Desctos s/compra 16%</t>
  </si>
  <si>
    <t>Desctos s/compra 11%</t>
  </si>
  <si>
    <t>Desctos s/compra Exportacion</t>
  </si>
  <si>
    <t>231</t>
  </si>
  <si>
    <t>CUENTA PUENTE ANTICIPO CLIENTE</t>
  </si>
  <si>
    <t>Anticipo de Clientes Nal</t>
  </si>
  <si>
    <t>Anticipo de Clientes Ext</t>
  </si>
  <si>
    <t>Depositos por Anticipos Nal</t>
  </si>
  <si>
    <t>Depositos por Anticipos Ext</t>
  </si>
  <si>
    <t>Clientes Nal</t>
  </si>
  <si>
    <t>Clientes Ext</t>
  </si>
  <si>
    <t>Efecto Cambiario Nal</t>
  </si>
  <si>
    <t>Efecto Cambiario Ext</t>
  </si>
  <si>
    <t>Efecto Cambiario Parte Rel</t>
  </si>
  <si>
    <t>Reserv P/Ctas Incob NAL</t>
  </si>
  <si>
    <t>Solo modificar la descripción</t>
  </si>
  <si>
    <t>Reserv P/Ctas Incob EXT</t>
  </si>
  <si>
    <t>Ant Proveed Nacional</t>
  </si>
  <si>
    <t>Ant Proveed Extranjero</t>
  </si>
  <si>
    <t>Ant Proveed Nal Parte Rel</t>
  </si>
  <si>
    <t xml:space="preserve">      PRODUCTO EN TRANSITO</t>
  </si>
  <si>
    <t xml:space="preserve">       Inventario en Transito</t>
  </si>
  <si>
    <t xml:space="preserve">       Actividad Complementari</t>
  </si>
  <si>
    <t xml:space="preserve">    Proveedores Nacionales</t>
  </si>
  <si>
    <t xml:space="preserve">    Proveedores Ext</t>
  </si>
  <si>
    <t>Efecto de Revaluacion Nal</t>
  </si>
  <si>
    <t>Efecto de Revaluacion Extr</t>
  </si>
  <si>
    <t>Efecto de Revaluacion Nal Parte Rel</t>
  </si>
  <si>
    <t>EFECTO CAMBIARIO</t>
  </si>
  <si>
    <t>Pasivos Por Distribuir Nal</t>
  </si>
  <si>
    <t>Pasivos Por Distribuir Ext</t>
  </si>
  <si>
    <t>Anticipo de Clientes Parte Rel</t>
  </si>
  <si>
    <t>010701</t>
  </si>
  <si>
    <t>010702</t>
  </si>
  <si>
    <t>010703</t>
  </si>
  <si>
    <t>010704</t>
  </si>
  <si>
    <t>010705</t>
  </si>
  <si>
    <t>010706</t>
  </si>
  <si>
    <t>10501</t>
  </si>
  <si>
    <t>10502</t>
  </si>
  <si>
    <t>10503</t>
  </si>
  <si>
    <t>10504</t>
  </si>
  <si>
    <t>10505</t>
  </si>
  <si>
    <t>10506</t>
  </si>
  <si>
    <t>10507</t>
  </si>
  <si>
    <t>VENTAS PARTES RELACIONADAS</t>
  </si>
  <si>
    <t>Servicios Especializados Directos</t>
  </si>
  <si>
    <t>Servicios Especializados Indirectos</t>
  </si>
  <si>
    <t>011701</t>
  </si>
  <si>
    <t>011702</t>
  </si>
  <si>
    <t>Arrendamiento PF</t>
  </si>
  <si>
    <t>Arrendamiento PM</t>
  </si>
  <si>
    <t>012101</t>
  </si>
  <si>
    <t>012102</t>
  </si>
  <si>
    <t>Honorarios PM Nacional</t>
  </si>
  <si>
    <t>Honorarios a Extranjero</t>
  </si>
  <si>
    <t>011501</t>
  </si>
  <si>
    <t>011502</t>
  </si>
  <si>
    <t>011901</t>
  </si>
  <si>
    <t>011902</t>
  </si>
  <si>
    <t>030101</t>
  </si>
  <si>
    <t>030102</t>
  </si>
  <si>
    <t>Otros Ingresos 16%</t>
  </si>
  <si>
    <t>Otros Ingresos Partes Relacionadas</t>
  </si>
  <si>
    <t>Clientes Partes Rel</t>
  </si>
  <si>
    <t>Proveedores Parte Rel</t>
  </si>
  <si>
    <t>Efecto de Revaluacion Parte Rel</t>
  </si>
  <si>
    <t>Utilidad Cambiaria Partes Relacionadas</t>
  </si>
  <si>
    <t>020203</t>
  </si>
  <si>
    <t>Perdida Cambiaria Partes Relacionadas</t>
  </si>
  <si>
    <t>Beneficio Serv Especializ Direct</t>
  </si>
  <si>
    <t>Beneficio Serv Espec Indirect</t>
  </si>
  <si>
    <t>Servicios Especializados Indirect</t>
  </si>
  <si>
    <t>Beneficio Serv Especializ Ind</t>
  </si>
  <si>
    <t>Servicios Especializ Indirect</t>
  </si>
  <si>
    <t>Beneficio Serv Especializ Indir</t>
  </si>
  <si>
    <t>COSTO DE VENTAS PARTE RELACIONADA</t>
  </si>
  <si>
    <t>400.0401 AL 0413</t>
  </si>
  <si>
    <t>500.0501 AL 0513</t>
  </si>
  <si>
    <t>501.012101 AL 012102</t>
  </si>
  <si>
    <t>700.030101 AL 030102</t>
  </si>
  <si>
    <t>501.010701 AL 010706</t>
  </si>
  <si>
    <t>600.010501 AL 010506</t>
  </si>
  <si>
    <t>600.011501 AL 011502</t>
  </si>
  <si>
    <t>600.011901 AL 011902</t>
  </si>
  <si>
    <t>601.010501 AL 010506</t>
  </si>
  <si>
    <t>601.011901 AL 011902</t>
  </si>
  <si>
    <t>10101 A LA 10114</t>
  </si>
  <si>
    <t>10201 A LA 10202</t>
  </si>
  <si>
    <t>10301 A LA 10302</t>
  </si>
  <si>
    <t>10401 A LA 10411</t>
  </si>
  <si>
    <t>10501 A LA 10508</t>
  </si>
  <si>
    <t>10601 A LA 10611</t>
  </si>
  <si>
    <t>A LA</t>
  </si>
  <si>
    <t>610.010501 AL 010506</t>
  </si>
  <si>
    <t>610.011901 AL 011902</t>
  </si>
  <si>
    <t>10171 A LA 10175</t>
  </si>
  <si>
    <t>10471 A LA 10475</t>
  </si>
  <si>
    <t>10671 A LA 10675</t>
  </si>
  <si>
    <t>CUENTA CONTABLE</t>
  </si>
  <si>
    <t>131</t>
  </si>
  <si>
    <t>Bancomer USD Cta 0199216502</t>
  </si>
  <si>
    <t>Donativos</t>
  </si>
  <si>
    <t>Comedor</t>
  </si>
  <si>
    <t>Capacitacion y Adiestramiento</t>
  </si>
  <si>
    <t>ISR Ret Por Intereses P</t>
  </si>
  <si>
    <t>ISR Ret por Dividendos</t>
  </si>
  <si>
    <t>0314</t>
  </si>
  <si>
    <t>Madera</t>
  </si>
  <si>
    <t>Ventas Madera</t>
  </si>
  <si>
    <t>Devs S/Vtas Madera</t>
  </si>
  <si>
    <t>Desctos S/Vtas Madera</t>
  </si>
  <si>
    <t>Costo de Ventas Madera</t>
  </si>
  <si>
    <t>0414</t>
  </si>
  <si>
    <t>0514</t>
  </si>
  <si>
    <t>Prestamo a Trab x Multas</t>
  </si>
  <si>
    <t>0604</t>
  </si>
  <si>
    <t>IVA Ret Desperdicio</t>
  </si>
  <si>
    <t>Ret Impto s/Nomina Estatal</t>
  </si>
  <si>
    <t>Impto S/Nomina Retenido</t>
  </si>
  <si>
    <t xml:space="preserve">      PRODUCTO EN CONSIGNACION</t>
  </si>
  <si>
    <t>Vacaciones</t>
  </si>
  <si>
    <t>HSBC USD Cta 724008713</t>
  </si>
  <si>
    <t>IVA IMPORTACIONES 16%</t>
  </si>
  <si>
    <t>Cuentas Incobrables</t>
  </si>
  <si>
    <t>Ropa de Trabajo</t>
  </si>
  <si>
    <t>0126</t>
  </si>
  <si>
    <t>98</t>
  </si>
  <si>
    <t>Cliente Direct Supply</t>
  </si>
  <si>
    <t>IVA X Acreditar 8%</t>
  </si>
  <si>
    <t>IVA Pagado 8%</t>
  </si>
  <si>
    <t>IVA RETENIDO DESPERDICIO</t>
  </si>
  <si>
    <t>IVA Ret Desperdicio 16%</t>
  </si>
  <si>
    <t>IVA RETENIDO TRANSPORTISTAS</t>
  </si>
  <si>
    <t>IVA Ret Desperdicio 8%</t>
  </si>
  <si>
    <t>050103</t>
  </si>
  <si>
    <t>IVA Por Pagar Tasa 8%</t>
  </si>
  <si>
    <t>050203</t>
  </si>
  <si>
    <t>IVA Por Pagar Cobrado Tasa 8%</t>
  </si>
  <si>
    <t>VENTAS 8%</t>
  </si>
  <si>
    <t>DEVOLUCIONES S/VENTA 8%</t>
  </si>
  <si>
    <t>DESCUENTOS S/VENTA 8%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</si>
  <si>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</si>
  <si>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</si>
  <si>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</si>
  <si>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</si>
  <si>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</si>
  <si>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</si>
  <si>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</si>
  <si>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</si>
  <si>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</si>
  <si>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COSTO DE VENTAS 8%</t>
  </si>
  <si>
    <t>Desctos s/compra 8%</t>
  </si>
  <si>
    <t>0614</t>
  </si>
  <si>
    <t>191</t>
  </si>
  <si>
    <t>Emypla</t>
  </si>
  <si>
    <t>COMISIONES BANCARIAS</t>
  </si>
  <si>
    <t>PROVISIÓN D3</t>
  </si>
  <si>
    <t>IVA Ret Nomina 6%</t>
  </si>
  <si>
    <t>IVA RETENIDO 6% NOMINA</t>
  </si>
  <si>
    <t>IVA por Pagar</t>
  </si>
  <si>
    <t>IVA Ret 6%</t>
  </si>
  <si>
    <t>192</t>
  </si>
  <si>
    <t>ACTIVO POR DERECHO DE USO</t>
  </si>
  <si>
    <t>Activo Por Derecho de Uso</t>
  </si>
  <si>
    <t>286</t>
  </si>
  <si>
    <t>PASIVO POR ARRENDAMIENTO</t>
  </si>
  <si>
    <t>Pasivo Por Arrendamiento</t>
  </si>
  <si>
    <t>GASTOS FINANCIEROS POR DERECHO DE USO</t>
  </si>
  <si>
    <t>Intereses Activo Por Derecho de Uso</t>
  </si>
  <si>
    <t>602</t>
  </si>
  <si>
    <t>GASTOS POR DERECHO DE USO</t>
  </si>
  <si>
    <t>Amortizacion Activos por Derecho de Uso</t>
  </si>
  <si>
    <t>Otr. Ings Vta Activo F   0% IVA</t>
  </si>
  <si>
    <t>BANCO EURO</t>
  </si>
  <si>
    <t>BANCO BASE EURO</t>
  </si>
  <si>
    <t>BASE EURO Cta 145320104590013019</t>
  </si>
  <si>
    <t>0214</t>
  </si>
  <si>
    <t>0215</t>
  </si>
  <si>
    <t>0216</t>
  </si>
  <si>
    <t>0217</t>
  </si>
  <si>
    <t xml:space="preserve">      SUELDOS DIRECTOS FAB</t>
  </si>
  <si>
    <t>Horas Extras Dobl</t>
  </si>
  <si>
    <t>Horas Extras Triples</t>
  </si>
  <si>
    <t>Bono de Productividad</t>
  </si>
  <si>
    <t>Bono de Asistencia</t>
  </si>
  <si>
    <t>Bono de Puntualidad</t>
  </si>
  <si>
    <t>Aguinaldo</t>
  </si>
  <si>
    <t>Despensas</t>
  </si>
  <si>
    <t>Prima Dominical</t>
  </si>
  <si>
    <t>Dia Festivo</t>
  </si>
  <si>
    <t>Prima de AntigÃ¼edad</t>
  </si>
  <si>
    <t>IndemnizaciÃ³n</t>
  </si>
  <si>
    <t>Apoyo de Defuncion</t>
  </si>
  <si>
    <t>Apoyo por Matrimonio</t>
  </si>
  <si>
    <t>0315</t>
  </si>
  <si>
    <t>0316</t>
  </si>
  <si>
    <t>0317</t>
  </si>
  <si>
    <t xml:space="preserve">      SUELDOS INDIRECTOS FAB</t>
  </si>
  <si>
    <t xml:space="preserve">       SUELDOS</t>
  </si>
  <si>
    <t xml:space="preserve">       HORAS EXTRAS DOBLES</t>
  </si>
  <si>
    <t xml:space="preserve">       HORAS EXTRAS TRIPLES</t>
  </si>
  <si>
    <t xml:space="preserve">       GRATIFICACIONES</t>
  </si>
  <si>
    <t xml:space="preserve">       BONO DE PRODUCTIVIDAD</t>
  </si>
  <si>
    <t xml:space="preserve">       BONO DE ASISTENCIA</t>
  </si>
  <si>
    <t xml:space="preserve">       BONO DE PUNTUALIDAD</t>
  </si>
  <si>
    <t xml:space="preserve">       VACACIONES</t>
  </si>
  <si>
    <t xml:space="preserve">       PRIMA VACACIONAL</t>
  </si>
  <si>
    <t xml:space="preserve">       AGUINALDO</t>
  </si>
  <si>
    <t xml:space="preserve">       DESPENSAS</t>
  </si>
  <si>
    <t xml:space="preserve">       PRIMA DOMINICAL</t>
  </si>
  <si>
    <t xml:space="preserve">       DIA FESTIVO</t>
  </si>
  <si>
    <t xml:space="preserve">       PRIMA DE ANTIGUEDAD</t>
  </si>
  <si>
    <t xml:space="preserve">       INDEMNIZACIÃ’N</t>
  </si>
  <si>
    <t xml:space="preserve">       APOYO DE DEFUNCION</t>
  </si>
  <si>
    <t xml:space="preserve">       APOYO POR MATRIMONIO</t>
  </si>
  <si>
    <t>SALARIOS ADMINISTRACION</t>
  </si>
  <si>
    <t xml:space="preserve"> SUELDOS</t>
  </si>
  <si>
    <t xml:space="preserve"> HORAS EXTRAS DOBLES</t>
  </si>
  <si>
    <t xml:space="preserve"> HORAS EXTRAS TRIPLES</t>
  </si>
  <si>
    <t xml:space="preserve"> GRATIFICACIONES</t>
  </si>
  <si>
    <t xml:space="preserve"> BONO DE PRODUCTIVIDAD</t>
  </si>
  <si>
    <t xml:space="preserve"> BONO DE ASISTENCIA</t>
  </si>
  <si>
    <t xml:space="preserve"> BONO DE PUNTUALIDAD</t>
  </si>
  <si>
    <t xml:space="preserve"> VACACIONES</t>
  </si>
  <si>
    <t xml:space="preserve"> PRIMA VACACIONAL</t>
  </si>
  <si>
    <t xml:space="preserve"> AGUINALDO</t>
  </si>
  <si>
    <t xml:space="preserve"> DESPENSAS</t>
  </si>
  <si>
    <t xml:space="preserve"> PRIMA DOMINICAL</t>
  </si>
  <si>
    <t xml:space="preserve"> DIA FESTIVO</t>
  </si>
  <si>
    <t xml:space="preserve"> PRIMA DE ANTIGUEDAD</t>
  </si>
  <si>
    <t xml:space="preserve"> INDEMNIZACIÃ’N</t>
  </si>
  <si>
    <t xml:space="preserve"> APOYO DE DEFUNCION</t>
  </si>
  <si>
    <t xml:space="preserve"> APOYO POR MATRIMONIO</t>
  </si>
  <si>
    <t xml:space="preserve">      SALARIOS VENTAS</t>
  </si>
  <si>
    <t xml:space="preserve">      SALARIOS CORPORATIVOS</t>
  </si>
  <si>
    <t>Retención Fonacot</t>
  </si>
  <si>
    <t>Retiro de Asociados</t>
  </si>
  <si>
    <t>ISR por Asimilados</t>
  </si>
  <si>
    <t>Subsidio al Empleo</t>
  </si>
  <si>
    <t>Bono Anual</t>
  </si>
  <si>
    <t>Credito por Optica</t>
  </si>
  <si>
    <t>Credito Dentista</t>
  </si>
  <si>
    <t>Pension Alimenticia</t>
  </si>
  <si>
    <t>201</t>
  </si>
  <si>
    <t>DESCUENTO A EMPLEADOS</t>
  </si>
  <si>
    <t>Cambiar cuenta a 201.04</t>
  </si>
  <si>
    <t>Despensa</t>
  </si>
  <si>
    <t>ISR Retenido por Bancos</t>
  </si>
  <si>
    <t>SALDOS A FAVOR</t>
  </si>
  <si>
    <t>Saldo a Favor de IVA</t>
  </si>
  <si>
    <t>Saldo a Favor de ISR</t>
  </si>
  <si>
    <t>ISR Ret Reg Confianza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</si>
  <si>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</si>
  <si>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</si>
  <si>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</si>
  <si>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</si>
  <si>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</si>
  <si>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</si>
  <si>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</si>
  <si>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</si>
  <si>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</si>
  <si>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</si>
  <si>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HSBC Cta 4017812231 (cancelada)</t>
  </si>
  <si>
    <t>HSBC Cta 4014126999</t>
  </si>
  <si>
    <t>HSBC Cta 4057101974</t>
  </si>
  <si>
    <t>HSBC Inv 7355800095</t>
  </si>
  <si>
    <t>HSBC Inv 7012900076</t>
  </si>
  <si>
    <t>HSBC Inv 7699401582</t>
  </si>
  <si>
    <t>HSBC Cta 4064410038</t>
  </si>
  <si>
    <t>HSBC Cta 4065801557</t>
  </si>
  <si>
    <t>HSBC Inv 40199095351</t>
  </si>
  <si>
    <t>HSBC Inv 7355800094200</t>
  </si>
  <si>
    <t>HSBC Inv 6699401451</t>
  </si>
  <si>
    <t>010114</t>
  </si>
  <si>
    <t>010115</t>
  </si>
  <si>
    <t>010116</t>
  </si>
  <si>
    <t>010117</t>
  </si>
  <si>
    <t>010118</t>
  </si>
  <si>
    <t>010119</t>
  </si>
  <si>
    <t>HSBC Inv 6411632841</t>
  </si>
  <si>
    <t>HSBC Inv 6411632866</t>
  </si>
  <si>
    <t>HSBC Inv 6411632874</t>
  </si>
  <si>
    <t>HSBC Inv 6411632890</t>
  </si>
  <si>
    <t>HSBC Inv 6411632908</t>
  </si>
  <si>
    <t>HSBC Inv 6411632916</t>
  </si>
  <si>
    <t>010401</t>
  </si>
  <si>
    <t>BANCO BASE MN</t>
  </si>
  <si>
    <t>Base Cta 145320002051501010</t>
  </si>
  <si>
    <t>010501</t>
  </si>
  <si>
    <t>ACTINVER MN</t>
  </si>
  <si>
    <t>Actinver Cta 9002848-1</t>
  </si>
  <si>
    <t>BASE EURO Cta (pendiente)</t>
  </si>
  <si>
    <t xml:space="preserve"> ANTICIPOS A EMPLEADOS</t>
  </si>
  <si>
    <t>Pago x Anticipo a Empleados</t>
  </si>
  <si>
    <t xml:space="preserve">      IMPUESTOS SOBRE SALARIOS</t>
  </si>
  <si>
    <t>SAR</t>
  </si>
  <si>
    <t>INFONAVIT</t>
  </si>
  <si>
    <t>2% SOBRE NOMINAS</t>
  </si>
  <si>
    <t>ISR SALARIOS</t>
  </si>
  <si>
    <t>SALARIOS ASIMILADOS</t>
  </si>
  <si>
    <t xml:space="preserve">             IMPTOS S/SALARIOS</t>
  </si>
  <si>
    <t xml:space="preserve">               IMSS</t>
  </si>
  <si>
    <t xml:space="preserve">               SAR</t>
  </si>
  <si>
    <t xml:space="preserve">               INFONAVIT</t>
  </si>
  <si>
    <t xml:space="preserve">               2% SOBRE NOMINA</t>
  </si>
  <si>
    <t>0250</t>
  </si>
  <si>
    <t>025001</t>
  </si>
  <si>
    <t>025002</t>
  </si>
  <si>
    <t>025003</t>
  </si>
  <si>
    <t>025004</t>
  </si>
  <si>
    <t>0350</t>
  </si>
  <si>
    <t>035001</t>
  </si>
  <si>
    <t>035002</t>
  </si>
  <si>
    <t>035003</t>
  </si>
  <si>
    <t>035004</t>
  </si>
  <si>
    <t>IMPTOS S/SALARIOS</t>
  </si>
  <si>
    <t>2% SOBRE NOMINA</t>
  </si>
  <si>
    <t>Prediales y Tenecias Pagadas Por Antici</t>
  </si>
  <si>
    <t>Honorarios Pagadas Por Antici</t>
  </si>
  <si>
    <t>PROVISIÓN DE GASTOS</t>
  </si>
  <si>
    <t>246</t>
  </si>
  <si>
    <t>Pruebas de Calidad</t>
  </si>
  <si>
    <t>Licenciamiento</t>
  </si>
  <si>
    <t>Posada</t>
  </si>
  <si>
    <t>0218</t>
  </si>
  <si>
    <t>Fondo de Ahorro</t>
  </si>
  <si>
    <t>0318</t>
  </si>
  <si>
    <t>FONDO DE AHORRO</t>
  </si>
  <si>
    <t xml:space="preserve">       FONDO DE AHORRO</t>
  </si>
  <si>
    <t>241</t>
  </si>
  <si>
    <t>RETENCION FONDO DE AHORRO</t>
  </si>
  <si>
    <t>Retencion Trabajador y Patron</t>
  </si>
  <si>
    <t>Intereses Fondo de Ahorro</t>
  </si>
  <si>
    <t>010601</t>
  </si>
  <si>
    <t>GRUPO BURSATIL MEXICANO MN</t>
  </si>
  <si>
    <t>GBM (Fondo de Ahorro) Cta 226965</t>
  </si>
  <si>
    <t>Seguridad e Higiene</t>
  </si>
  <si>
    <t>Capacitacion</t>
  </si>
  <si>
    <t>0127</t>
  </si>
  <si>
    <t>Reclutamiento</t>
  </si>
  <si>
    <t>010602</t>
  </si>
  <si>
    <t>GBM (Fondo de Ahorro) Cta 227422</t>
  </si>
  <si>
    <t>Herramentales</t>
  </si>
  <si>
    <t>010603</t>
  </si>
  <si>
    <t>GBM (Fondo de Ahorro) Cta 227765</t>
  </si>
  <si>
    <t>010604</t>
  </si>
  <si>
    <t>GBM (Fondo de Ahorro) Cta 227516</t>
  </si>
  <si>
    <t>Recoleccion de Basura y Residuos</t>
  </si>
  <si>
    <t>020501</t>
  </si>
  <si>
    <t>GRUPO BURSATIL MEXICANO USD</t>
  </si>
  <si>
    <t>GBM USD Cta 217621</t>
  </si>
  <si>
    <t>020601</t>
  </si>
  <si>
    <t>BANCO MONEX USD</t>
  </si>
  <si>
    <t>MONEX USD Cta 1845882</t>
  </si>
  <si>
    <t>030201</t>
  </si>
  <si>
    <t>BANCO MONEX EURO</t>
  </si>
  <si>
    <t>MONEX EURO Cta 1845882</t>
  </si>
  <si>
    <t>BANCO MONEX MXP</t>
  </si>
  <si>
    <t>MONEX MXP Cta 1845882</t>
  </si>
  <si>
    <t>0128</t>
  </si>
  <si>
    <t>Articulos de Limpieza</t>
  </si>
  <si>
    <t>Descuento Juzgado</t>
  </si>
  <si>
    <t>Impuesto Ambiental</t>
  </si>
  <si>
    <t>Provision de Intereses</t>
  </si>
  <si>
    <t>202</t>
  </si>
  <si>
    <t>FINIQUITOS</t>
  </si>
  <si>
    <t>Finiquitos</t>
  </si>
  <si>
    <t>Gastos de Exportacion (Rate)</t>
  </si>
  <si>
    <t>Fundas</t>
  </si>
  <si>
    <t>Scrap</t>
  </si>
  <si>
    <t>Caja Chica HSJ</t>
  </si>
  <si>
    <t>Caja Chica Ocotlan</t>
  </si>
  <si>
    <t>Tarjetas Corporativas</t>
  </si>
  <si>
    <t>Caja Chica Gdl Embarque</t>
  </si>
  <si>
    <t>Caja Chica Gdl Administ</t>
  </si>
  <si>
    <t>Ventas Fundas</t>
  </si>
  <si>
    <t>Ventas Scrap</t>
  </si>
  <si>
    <t>Devs S/Vtas Fundas</t>
  </si>
  <si>
    <t>Devs S/Vtas Scrap</t>
  </si>
  <si>
    <t>Desctos S/Vtas Fundas</t>
  </si>
  <si>
    <t>Desctos S/Vtas Scrap</t>
  </si>
  <si>
    <t>Costo de Ventas Fundas</t>
  </si>
  <si>
    <t>Costo de Ventas Scrap</t>
  </si>
  <si>
    <t>American Confort Products</t>
  </si>
  <si>
    <t>Papelcor</t>
  </si>
  <si>
    <t>020103</t>
  </si>
  <si>
    <t>HSBC USD Cta 104056193 American</t>
  </si>
  <si>
    <t>020701</t>
  </si>
  <si>
    <t>PNC BANK USD</t>
  </si>
  <si>
    <t>PNC USD Cta 4749943594 Elements</t>
  </si>
  <si>
    <t>020108</t>
  </si>
  <si>
    <t>020104</t>
  </si>
  <si>
    <t>020105</t>
  </si>
  <si>
    <t>020106</t>
  </si>
  <si>
    <t>020107</t>
  </si>
  <si>
    <t>HSBC USD 70-0377579-8</t>
  </si>
  <si>
    <t>HSBC USD 7003822988</t>
  </si>
  <si>
    <t>HSBC USD 7003821378</t>
  </si>
  <si>
    <t>HSBC USD 7003846524</t>
  </si>
  <si>
    <t>HSBC USD 7003846631</t>
  </si>
  <si>
    <t>Activos Pendientes de Capitalizar</t>
  </si>
  <si>
    <t>89</t>
  </si>
  <si>
    <t>09</t>
  </si>
  <si>
    <t>020801</t>
  </si>
  <si>
    <t>BANCO BASE USD</t>
  </si>
  <si>
    <t>BASE USD Cta 145320457969102017</t>
  </si>
  <si>
    <t>Servicios Administrativos SL</t>
  </si>
  <si>
    <t>Elements Sleep</t>
  </si>
  <si>
    <t>Operadora Ureblock</t>
  </si>
  <si>
    <t>020802</t>
  </si>
  <si>
    <t>BASE USD Cta 145320104590002017</t>
  </si>
  <si>
    <t>Prestamo a Filiales</t>
  </si>
  <si>
    <t>Prestamo de Filiales</t>
  </si>
  <si>
    <t>247</t>
  </si>
  <si>
    <t>PROVISIÓN DE NOTAS DE CREDITO</t>
  </si>
  <si>
    <t>Rebates Exportacion</t>
  </si>
  <si>
    <t>Rebates 16%</t>
  </si>
  <si>
    <t>OTROS INGRESOS SUBARRENDAMIENTO</t>
  </si>
  <si>
    <t>Otros Ingresos Subarrendamiento 16% IVA</t>
  </si>
  <si>
    <t>Fletes Mcia Sin Ret</t>
  </si>
  <si>
    <t>Fletes Mcia Con Ret</t>
  </si>
  <si>
    <t>Fletes Refacc Sin Ret</t>
  </si>
  <si>
    <t>Fletes Refacc Con Ret</t>
  </si>
  <si>
    <t>0129</t>
  </si>
  <si>
    <t>0130</t>
  </si>
  <si>
    <t>Fletes A.F. Sin Ret</t>
  </si>
  <si>
    <t>Fletes A.F. Con Ret</t>
  </si>
  <si>
    <t>Fletes Interplanta Sin Ret</t>
  </si>
  <si>
    <t>Fletes Interplanta Con Ret</t>
  </si>
  <si>
    <t>0131</t>
  </si>
  <si>
    <t>0132</t>
  </si>
  <si>
    <t>Deudores Con Act Emp EXT</t>
  </si>
  <si>
    <t>Acreedores Diversos EXT</t>
  </si>
  <si>
    <t>IMPUESTOS DIFERIDOS</t>
  </si>
  <si>
    <t>PTU Diferida</t>
  </si>
  <si>
    <t>OBLIGACIONES LABORALES</t>
  </si>
  <si>
    <t>DEUDORES DIV CON ACT EMP EXT</t>
  </si>
  <si>
    <t>Gtos Importancion y Fletes</t>
  </si>
  <si>
    <t>010801</t>
  </si>
  <si>
    <t>BANREGIO MN</t>
  </si>
  <si>
    <t>BANREGIO USD</t>
  </si>
  <si>
    <t>BANREGIO MXP Cta 145804290018</t>
  </si>
  <si>
    <t>BANREGIO USD Cta 145804290026</t>
  </si>
  <si>
    <t>020901</t>
  </si>
  <si>
    <t>010901</t>
  </si>
  <si>
    <t>BANCO BASE MXP</t>
  </si>
  <si>
    <t>BASE MXP Cta 145320104590000006</t>
  </si>
  <si>
    <t>010802</t>
  </si>
  <si>
    <t>BASE MXP Cta 145320457969101018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</si>
</sst>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color rgb="FF0000FF"/>
      <name val="Arial"/>
      <family val="2"/>
    </font>
    <font>
      <sz val="10"/>
      <color indexed="12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00"/>
      <name val="Arial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6" borderId="5" xfId="0" applyFill="1" applyBorder="1"/>
    <xf numFmtId="0" fontId="0" fillId="7" borderId="0" xfId="0" applyFill="1"/>
    <xf numFmtId="0" fontId="0" fillId="7" borderId="2" xfId="0" applyFill="1" applyBorder="1"/>
    <xf numFmtId="0" fontId="0" fillId="6" borderId="4" xfId="0" applyFill="1" applyBorder="1"/>
    <xf numFmtId="0" fontId="0" fillId="6" borderId="6" xfId="0" applyFill="1" applyBorder="1"/>
    <xf numFmtId="164" fontId="2" fillId="0" borderId="8" xfId="1" applyNumberFormat="1" applyFont="1" applyBorder="1"/>
    <xf numFmtId="164" fontId="2" fillId="6" borderId="7" xfId="1" applyNumberFormat="1" applyFont="1" applyFill="1" applyBorder="1"/>
    <xf numFmtId="0" fontId="0" fillId="2" borderId="0" xfId="0" applyFill="1"/>
    <xf numFmtId="0" fontId="0" fillId="2" borderId="2" xfId="0" applyFill="1" applyBorder="1"/>
    <xf numFmtId="0" fontId="0" fillId="8" borderId="0" xfId="0" applyFill="1"/>
    <xf numFmtId="0" fontId="0" fillId="8" borderId="2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4" fillId="5" borderId="1" xfId="0" applyNumberFormat="1" applyFont="1" applyFill="1" applyBorder="1"/>
    <xf numFmtId="49" fontId="4" fillId="0" borderId="1" xfId="0" applyNumberFormat="1" applyFont="1" applyBorder="1"/>
    <xf numFmtId="0" fontId="0" fillId="3" borderId="10" xfId="0" applyFill="1" applyBorder="1"/>
    <xf numFmtId="0" fontId="2" fillId="0" borderId="2" xfId="0" applyFont="1" applyBorder="1"/>
    <xf numFmtId="0" fontId="0" fillId="9" borderId="9" xfId="0" applyFill="1" applyBorder="1"/>
    <xf numFmtId="0" fontId="2" fillId="2" borderId="11" xfId="0" applyFont="1" applyFill="1" applyBorder="1"/>
    <xf numFmtId="0" fontId="2" fillId="0" borderId="9" xfId="0" applyFont="1" applyBorder="1" applyAlignment="1">
      <alignment horizontal="center"/>
    </xf>
    <xf numFmtId="0" fontId="0" fillId="2" borderId="11" xfId="0" applyFill="1" applyBorder="1"/>
    <xf numFmtId="0" fontId="2" fillId="8" borderId="12" xfId="0" applyFont="1" applyFill="1" applyBorder="1"/>
    <xf numFmtId="0" fontId="0" fillId="8" borderId="13" xfId="0" applyFill="1" applyBorder="1"/>
    <xf numFmtId="0" fontId="2" fillId="8" borderId="13" xfId="0" applyFont="1" applyFill="1" applyBorder="1"/>
    <xf numFmtId="0" fontId="2" fillId="8" borderId="13" xfId="0" applyFont="1" applyFill="1" applyBorder="1" applyAlignment="1">
      <alignment horizontal="left"/>
    </xf>
    <xf numFmtId="0" fontId="0" fillId="8" borderId="14" xfId="0" applyFill="1" applyBorder="1"/>
    <xf numFmtId="0" fontId="2" fillId="8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5" borderId="1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/>
    <xf numFmtId="0" fontId="2" fillId="9" borderId="1" xfId="0" applyFont="1" applyFill="1" applyBorder="1"/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9" fontId="2" fillId="0" borderId="9" xfId="2" applyFont="1" applyBorder="1"/>
    <xf numFmtId="164" fontId="2" fillId="0" borderId="9" xfId="1" applyNumberFormat="1" applyFont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8" borderId="19" xfId="0" applyFont="1" applyFill="1" applyBorder="1"/>
    <xf numFmtId="0" fontId="2" fillId="0" borderId="21" xfId="0" applyFont="1" applyBorder="1"/>
    <xf numFmtId="0" fontId="2" fillId="0" borderId="9" xfId="0" applyFont="1" applyBorder="1"/>
    <xf numFmtId="0" fontId="2" fillId="8" borderId="21" xfId="0" applyFont="1" applyFill="1" applyBorder="1"/>
    <xf numFmtId="9" fontId="2" fillId="8" borderId="9" xfId="2" applyFont="1" applyFill="1" applyBorder="1"/>
    <xf numFmtId="0" fontId="2" fillId="2" borderId="9" xfId="0" applyFont="1" applyFill="1" applyBorder="1"/>
    <xf numFmtId="164" fontId="2" fillId="2" borderId="9" xfId="1" applyNumberFormat="1" applyFont="1" applyFill="1" applyBorder="1"/>
    <xf numFmtId="9" fontId="2" fillId="2" borderId="9" xfId="2" applyFont="1" applyFill="1" applyBorder="1"/>
    <xf numFmtId="0" fontId="5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2" fillId="0" borderId="22" xfId="0" applyFont="1" applyBorder="1"/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164" fontId="2" fillId="0" borderId="24" xfId="1" applyNumberFormat="1" applyFont="1" applyFill="1" applyBorder="1"/>
    <xf numFmtId="0" fontId="2" fillId="8" borderId="23" xfId="0" applyFont="1" applyFill="1" applyBorder="1" applyAlignment="1">
      <alignment horizontal="center"/>
    </xf>
    <xf numFmtId="0" fontId="2" fillId="8" borderId="25" xfId="0" applyFont="1" applyFill="1" applyBorder="1"/>
    <xf numFmtId="0" fontId="2" fillId="0" borderId="26" xfId="0" applyFont="1" applyBorder="1"/>
    <xf numFmtId="0" fontId="2" fillId="8" borderId="0" xfId="0" applyFont="1" applyFill="1" applyAlignment="1">
      <alignment horizontal="center"/>
    </xf>
    <xf numFmtId="0" fontId="2" fillId="8" borderId="27" xfId="0" applyFont="1" applyFill="1" applyBorder="1"/>
    <xf numFmtId="0" fontId="2" fillId="0" borderId="27" xfId="0" applyFont="1" applyBorder="1"/>
    <xf numFmtId="164" fontId="2" fillId="0" borderId="0" xfId="0" applyNumberFormat="1" applyFont="1"/>
    <xf numFmtId="0" fontId="2" fillId="0" borderId="28" xfId="0" applyFont="1" applyBorder="1"/>
    <xf numFmtId="0" fontId="2" fillId="0" borderId="2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2" borderId="29" xfId="0" applyFont="1" applyFill="1" applyBorder="1"/>
    <xf numFmtId="0" fontId="2" fillId="2" borderId="29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" xfId="0" applyBorder="1" applyAlignment="1">
      <alignment horizontal="center"/>
    </xf>
    <xf numFmtId="0" fontId="0" fillId="0" borderId="30" xfId="0" applyBorder="1"/>
    <xf numFmtId="0" fontId="2" fillId="12" borderId="0" xfId="0" applyFont="1" applyFill="1" applyAlignment="1">
      <alignment horizontal="center"/>
    </xf>
    <xf numFmtId="0" fontId="2" fillId="8" borderId="14" xfId="0" applyFont="1" applyFill="1" applyBorder="1"/>
    <xf numFmtId="0" fontId="2" fillId="13" borderId="0" xfId="0" applyFont="1" applyFill="1" applyAlignment="1">
      <alignment horizontal="center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164" fontId="0" fillId="0" borderId="0" xfId="1" applyNumberFormat="1" applyFont="1" applyFill="1"/>
    <xf numFmtId="164" fontId="2" fillId="0" borderId="29" xfId="1" applyNumberFormat="1" applyFont="1" applyFill="1" applyBorder="1"/>
    <xf numFmtId="164" fontId="2" fillId="0" borderId="0" xfId="1" applyNumberFormat="1" applyFont="1" applyFill="1"/>
    <xf numFmtId="164" fontId="2" fillId="0" borderId="20" xfId="1" applyNumberFormat="1" applyFont="1" applyFill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2" fillId="0" borderId="16" xfId="1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2" borderId="14" xfId="1" applyNumberFormat="1" applyFont="1" applyFill="1" applyBorder="1"/>
    <xf numFmtId="164" fontId="2" fillId="7" borderId="1" xfId="1" applyNumberFormat="1" applyFont="1" applyFill="1" applyBorder="1"/>
    <xf numFmtId="164" fontId="2" fillId="0" borderId="13" xfId="1" applyNumberFormat="1" applyFont="1" applyFill="1" applyBorder="1" applyAlignment="1">
      <alignment horizontal="center"/>
    </xf>
    <xf numFmtId="164" fontId="2" fillId="0" borderId="0" xfId="1" applyNumberFormat="1" applyFont="1" applyFill="1" applyBorder="1"/>
    <xf numFmtId="164" fontId="2" fillId="0" borderId="2" xfId="1" applyNumberFormat="1" applyFont="1" applyFill="1" applyBorder="1"/>
    <xf numFmtId="0" fontId="2" fillId="7" borderId="20" xfId="0" applyFont="1" applyFill="1" applyBorder="1"/>
    <xf numFmtId="164" fontId="2" fillId="8" borderId="1" xfId="1" applyNumberFormat="1" applyFont="1" applyFill="1" applyBorder="1"/>
    <xf numFmtId="0" fontId="7" fillId="8" borderId="13" xfId="0" applyFont="1" applyFill="1" applyBorder="1"/>
    <xf numFmtId="0" fontId="7" fillId="8" borderId="23" xfId="0" applyFont="1" applyFill="1" applyBorder="1"/>
    <xf numFmtId="0" fontId="2" fillId="2" borderId="20" xfId="0" applyFont="1" applyFill="1" applyBorder="1"/>
    <xf numFmtId="0" fontId="7" fillId="8" borderId="2" xfId="0" applyFont="1" applyFill="1" applyBorder="1"/>
    <xf numFmtId="0" fontId="2" fillId="13" borderId="12" xfId="0" applyFont="1" applyFill="1" applyBorder="1"/>
    <xf numFmtId="0" fontId="2" fillId="13" borderId="13" xfId="0" applyFont="1" applyFill="1" applyBorder="1" applyAlignment="1">
      <alignment horizontal="center"/>
    </xf>
    <xf numFmtId="0" fontId="2" fillId="13" borderId="15" xfId="0" applyFont="1" applyFill="1" applyBorder="1"/>
    <xf numFmtId="0" fontId="8" fillId="0" borderId="0" xfId="0" applyFont="1"/>
    <xf numFmtId="0" fontId="9" fillId="0" borderId="0" xfId="0" applyFont="1"/>
    <xf numFmtId="0" fontId="10" fillId="14" borderId="12" xfId="0" applyFont="1" applyFill="1" applyBorder="1"/>
    <xf numFmtId="0" fontId="10" fillId="14" borderId="13" xfId="0" applyFont="1" applyFill="1" applyBorder="1"/>
    <xf numFmtId="0" fontId="10" fillId="14" borderId="14" xfId="0" applyFont="1" applyFill="1" applyBorder="1"/>
    <xf numFmtId="0" fontId="8" fillId="2" borderId="31" xfId="0" applyFont="1" applyFill="1" applyBorder="1"/>
    <xf numFmtId="0" fontId="2" fillId="6" borderId="9" xfId="0" applyFont="1" applyFill="1" applyBorder="1"/>
    <xf numFmtId="0" fontId="2" fillId="14" borderId="21" xfId="0" applyFont="1" applyFill="1" applyBorder="1" applyAlignment="1">
      <alignment horizontal="center"/>
    </xf>
    <xf numFmtId="0" fontId="2" fillId="14" borderId="32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0" fillId="2" borderId="33" xfId="0" applyFill="1" applyBorder="1"/>
    <xf numFmtId="0" fontId="2" fillId="14" borderId="34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5" xfId="0" applyFont="1" applyFill="1" applyBorder="1" applyAlignment="1">
      <alignment horizontal="center"/>
    </xf>
    <xf numFmtId="0" fontId="2" fillId="14" borderId="36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6" borderId="38" xfId="0" applyFont="1" applyFill="1" applyBorder="1"/>
    <xf numFmtId="0" fontId="2" fillId="13" borderId="36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13" borderId="39" xfId="0" applyFont="1" applyFill="1" applyBorder="1" applyAlignment="1">
      <alignment horizontal="center"/>
    </xf>
    <xf numFmtId="0" fontId="2" fillId="14" borderId="40" xfId="0" applyFont="1" applyFill="1" applyBorder="1" applyAlignment="1">
      <alignment horizontal="center"/>
    </xf>
    <xf numFmtId="0" fontId="2" fillId="14" borderId="41" xfId="0" applyFont="1" applyFill="1" applyBorder="1" applyAlignment="1">
      <alignment horizontal="center"/>
    </xf>
    <xf numFmtId="0" fontId="2" fillId="14" borderId="20" xfId="0" applyFont="1" applyFill="1" applyBorder="1" applyAlignment="1">
      <alignment horizontal="center"/>
    </xf>
    <xf numFmtId="0" fontId="12" fillId="14" borderId="12" xfId="0" applyFont="1" applyFill="1" applyBorder="1"/>
    <xf numFmtId="0" fontId="12" fillId="14" borderId="13" xfId="0" applyFont="1" applyFill="1" applyBorder="1"/>
    <xf numFmtId="0" fontId="12" fillId="14" borderId="14" xfId="0" applyFont="1" applyFill="1" applyBorder="1"/>
    <xf numFmtId="0" fontId="2" fillId="14" borderId="9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15" borderId="9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23" xfId="0" applyFont="1" applyBorder="1"/>
    <xf numFmtId="0" fontId="2" fillId="0" borderId="25" xfId="0" applyFont="1" applyBorder="1"/>
    <xf numFmtId="0" fontId="2" fillId="2" borderId="9" xfId="0" applyFont="1" applyFill="1" applyBorder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2" fillId="0" borderId="11" xfId="1" applyNumberFormat="1" applyFont="1" applyFill="1" applyBorder="1"/>
    <xf numFmtId="164" fontId="2" fillId="0" borderId="1" xfId="0" applyNumberFormat="1" applyFont="1" applyBorder="1"/>
    <xf numFmtId="164" fontId="2" fillId="0" borderId="0" xfId="1" applyNumberFormat="1" applyFont="1" applyFill="1" applyAlignment="1">
      <alignment horizontal="center"/>
    </xf>
    <xf numFmtId="164" fontId="2" fillId="0" borderId="20" xfId="0" applyNumberFormat="1" applyFont="1" applyBorder="1"/>
    <xf numFmtId="164" fontId="2" fillId="13" borderId="42" xfId="1" applyNumberFormat="1" applyFont="1" applyFill="1" applyBorder="1"/>
    <xf numFmtId="0" fontId="2" fillId="8" borderId="11" xfId="0" applyFont="1" applyFill="1" applyBorder="1"/>
    <xf numFmtId="164" fontId="2" fillId="8" borderId="11" xfId="1" applyNumberFormat="1" applyFont="1" applyFill="1" applyBorder="1"/>
    <xf numFmtId="0" fontId="7" fillId="8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4" fontId="2" fillId="0" borderId="15" xfId="1" applyNumberFormat="1" applyFont="1" applyFill="1" applyBorder="1"/>
    <xf numFmtId="164" fontId="2" fillId="7" borderId="24" xfId="1" applyNumberFormat="1" applyFont="1" applyFill="1" applyBorder="1"/>
    <xf numFmtId="164" fontId="2" fillId="0" borderId="43" xfId="1" applyNumberFormat="1" applyFont="1" applyFill="1" applyBorder="1"/>
    <xf numFmtId="164" fontId="2" fillId="0" borderId="10" xfId="1" applyNumberFormat="1" applyFont="1" applyFill="1" applyBorder="1"/>
    <xf numFmtId="164" fontId="2" fillId="0" borderId="23" xfId="1" applyNumberFormat="1" applyFont="1" applyFill="1" applyBorder="1"/>
    <xf numFmtId="164" fontId="2" fillId="0" borderId="44" xfId="1" applyNumberFormat="1" applyFont="1" applyBorder="1"/>
    <xf numFmtId="9" fontId="2" fillId="0" borderId="45" xfId="2" applyFont="1" applyBorder="1"/>
    <xf numFmtId="164" fontId="2" fillId="0" borderId="36" xfId="1" applyNumberFormat="1" applyFont="1" applyBorder="1"/>
    <xf numFmtId="9" fontId="2" fillId="0" borderId="39" xfId="2" applyFont="1" applyBorder="1"/>
    <xf numFmtId="9" fontId="2" fillId="0" borderId="46" xfId="2" applyFont="1" applyBorder="1"/>
    <xf numFmtId="164" fontId="2" fillId="8" borderId="12" xfId="1" applyNumberFormat="1" applyFont="1" applyFill="1" applyBorder="1"/>
    <xf numFmtId="9" fontId="2" fillId="0" borderId="10" xfId="2" applyFont="1" applyBorder="1"/>
    <xf numFmtId="49" fontId="3" fillId="0" borderId="0" xfId="0" applyNumberFormat="1" applyFont="1"/>
    <xf numFmtId="0" fontId="19" fillId="0" borderId="0" xfId="0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49" fontId="18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49" fontId="20" fillId="0" borderId="0" xfId="0" applyNumberFormat="1" applyFont="1"/>
    <xf numFmtId="49" fontId="3" fillId="0" borderId="0" xfId="0" applyNumberFormat="1" applyFont="1" applyAlignment="1">
      <alignment horizontal="left" indent="1"/>
    </xf>
    <xf numFmtId="49" fontId="3" fillId="0" borderId="0" xfId="0" applyNumberFormat="1" applyFont="1" applyAlignment="1">
      <alignment horizontal="left" indent="2"/>
    </xf>
    <xf numFmtId="49" fontId="18" fillId="0" borderId="0" xfId="0" applyNumberFormat="1" applyFont="1" applyAlignment="1">
      <alignment horizontal="left" indent="2"/>
    </xf>
    <xf numFmtId="0" fontId="18" fillId="0" borderId="0" xfId="0" applyFont="1" applyAlignment="1">
      <alignment horizontal="left" indent="2"/>
    </xf>
    <xf numFmtId="49" fontId="3" fillId="0" borderId="0" xfId="0" applyNumberFormat="1" applyFont="1" applyAlignment="1">
      <alignment horizontal="left" indent="3"/>
    </xf>
    <xf numFmtId="49" fontId="21" fillId="0" borderId="0" xfId="0" applyNumberFormat="1" applyFont="1" applyAlignment="1">
      <alignment horizontal="left" indent="3"/>
    </xf>
    <xf numFmtId="0" fontId="3" fillId="0" borderId="0" xfId="0" applyFont="1" applyAlignment="1">
      <alignment horizontal="left" indent="3"/>
    </xf>
    <xf numFmtId="49" fontId="18" fillId="0" borderId="0" xfId="0" applyNumberFormat="1" applyFont="1" applyAlignment="1">
      <alignment horizontal="left" indent="3"/>
    </xf>
    <xf numFmtId="0" fontId="18" fillId="0" borderId="0" xfId="0" applyFont="1" applyAlignment="1">
      <alignment horizontal="left" indent="3"/>
    </xf>
    <xf numFmtId="49" fontId="21" fillId="0" borderId="0" xfId="0" applyNumberFormat="1" applyFont="1" applyAlignment="1">
      <alignment horizontal="left" indent="4"/>
    </xf>
    <xf numFmtId="49" fontId="3" fillId="0" borderId="0" xfId="0" applyNumberFormat="1" applyFont="1" applyAlignment="1">
      <alignment horizontal="left" indent="4"/>
    </xf>
    <xf numFmtId="0" fontId="22" fillId="0" borderId="0" xfId="0" applyFont="1" applyAlignment="1">
      <alignment horizontal="left" indent="4"/>
    </xf>
    <xf numFmtId="0" fontId="23" fillId="0" borderId="0" xfId="0" applyFont="1" applyAlignment="1">
      <alignment horizontal="left" indent="4"/>
    </xf>
    <xf numFmtId="0" fontId="3" fillId="0" borderId="0" xfId="0" applyFont="1" applyAlignment="1">
      <alignment horizontal="left" indent="4"/>
    </xf>
    <xf numFmtId="49" fontId="22" fillId="0" borderId="0" xfId="0" applyNumberFormat="1" applyFont="1" applyAlignment="1">
      <alignment horizontal="left" indent="4"/>
    </xf>
    <xf numFmtId="49" fontId="21" fillId="0" borderId="0" xfId="0" applyNumberFormat="1" applyFont="1" applyAlignment="1">
      <alignment horizontal="left" indent="5"/>
    </xf>
    <xf numFmtId="0" fontId="23" fillId="0" borderId="0" xfId="0" applyFont="1" applyAlignment="1">
      <alignment horizontal="left" indent="5"/>
    </xf>
    <xf numFmtId="0" fontId="21" fillId="0" borderId="0" xfId="0" applyFont="1" applyAlignment="1">
      <alignment horizontal="left" indent="3"/>
    </xf>
    <xf numFmtId="0" fontId="3" fillId="0" borderId="0" xfId="0" applyFont="1"/>
    <xf numFmtId="0" fontId="3" fillId="7" borderId="0" xfId="0" applyFont="1" applyFill="1"/>
    <xf numFmtId="49" fontId="3" fillId="7" borderId="0" xfId="0" applyNumberFormat="1" applyFont="1" applyFill="1"/>
    <xf numFmtId="49" fontId="21" fillId="7" borderId="0" xfId="0" applyNumberFormat="1" applyFont="1" applyFill="1" applyAlignment="1">
      <alignment horizontal="left" indent="4"/>
    </xf>
    <xf numFmtId="49" fontId="3" fillId="6" borderId="0" xfId="0" applyNumberFormat="1" applyFont="1" applyFill="1"/>
    <xf numFmtId="49" fontId="21" fillId="7" borderId="0" xfId="0" applyNumberFormat="1" applyFont="1" applyFill="1" applyAlignment="1">
      <alignment horizontal="left" indent="3"/>
    </xf>
    <xf numFmtId="0" fontId="3" fillId="2" borderId="0" xfId="0" applyFont="1" applyFill="1"/>
    <xf numFmtId="49" fontId="3" fillId="2" borderId="0" xfId="0" applyNumberFormat="1" applyFont="1" applyFill="1"/>
    <xf numFmtId="49" fontId="21" fillId="2" borderId="0" xfId="0" applyNumberFormat="1" applyFont="1" applyFill="1" applyAlignment="1">
      <alignment horizontal="left" indent="4"/>
    </xf>
    <xf numFmtId="49" fontId="3" fillId="2" borderId="0" xfId="0" applyNumberFormat="1" applyFont="1" applyFill="1" applyAlignment="1">
      <alignment horizontal="left" indent="3"/>
    </xf>
    <xf numFmtId="49" fontId="4" fillId="2" borderId="0" xfId="0" applyNumberFormat="1" applyFont="1" applyFill="1"/>
    <xf numFmtId="49" fontId="4" fillId="7" borderId="0" xfId="0" applyNumberFormat="1" applyFont="1" applyFill="1"/>
    <xf numFmtId="0" fontId="22" fillId="7" borderId="0" xfId="0" applyFont="1" applyFill="1" applyAlignment="1">
      <alignment horizontal="left" indent="4"/>
    </xf>
    <xf numFmtId="0" fontId="3" fillId="7" borderId="0" xfId="0" applyFont="1" applyFill="1" applyAlignment="1">
      <alignment horizontal="left" indent="4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31" xfId="0" applyBorder="1" applyAlignment="1">
      <alignment horizontal="left" vertical="top"/>
    </xf>
    <xf numFmtId="0" fontId="0" fillId="0" borderId="37" xfId="0" applyBorder="1"/>
    <xf numFmtId="0" fontId="0" fillId="0" borderId="33" xfId="0" applyBorder="1" applyAlignment="1">
      <alignment horizontal="left"/>
    </xf>
    <xf numFmtId="0" fontId="0" fillId="0" borderId="31" xfId="0" applyBorder="1"/>
    <xf numFmtId="0" fontId="0" fillId="0" borderId="33" xfId="0" applyBorder="1"/>
    <xf numFmtId="0" fontId="0" fillId="0" borderId="31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9" xfId="0" applyBorder="1"/>
    <xf numFmtId="49" fontId="3" fillId="6" borderId="0" xfId="0" applyNumberFormat="1" applyFont="1" applyFill="1" applyAlignment="1">
      <alignment horizontal="left" indent="3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left" indent="4"/>
    </xf>
    <xf numFmtId="49" fontId="3" fillId="7" borderId="0" xfId="0" applyNumberFormat="1" applyFont="1" applyFill="1" applyAlignment="1">
      <alignment horizontal="left" indent="2"/>
    </xf>
    <xf numFmtId="49" fontId="3" fillId="7" borderId="0" xfId="0" applyNumberFormat="1" applyFont="1" applyFill="1" applyAlignment="1">
      <alignment horizontal="left" indent="3"/>
    </xf>
    <xf numFmtId="49" fontId="18" fillId="7" borderId="0" xfId="0" applyNumberFormat="1" applyFont="1" applyFill="1"/>
    <xf numFmtId="0" fontId="18" fillId="7" borderId="0" xfId="0" applyFont="1" applyFill="1" applyAlignment="1">
      <alignment horizontal="left" indent="3"/>
    </xf>
    <xf numFmtId="49" fontId="18" fillId="7" borderId="0" xfId="0" applyNumberFormat="1" applyFont="1" applyFill="1" applyAlignment="1">
      <alignment horizontal="left" indent="2"/>
    </xf>
    <xf numFmtId="49" fontId="21" fillId="7" borderId="0" xfId="0" applyNumberFormat="1" applyFont="1" applyFill="1" applyAlignment="1">
      <alignment horizontal="left" indent="5"/>
    </xf>
    <xf numFmtId="49" fontId="2" fillId="17" borderId="0" xfId="0" applyNumberFormat="1" applyFont="1" applyFill="1"/>
    <xf numFmtId="49" fontId="2" fillId="0" borderId="0" xfId="0" applyNumberFormat="1" applyFont="1"/>
    <xf numFmtId="49" fontId="3" fillId="18" borderId="0" xfId="0" applyNumberFormat="1" applyFont="1" applyFill="1"/>
    <xf numFmtId="0" fontId="3" fillId="18" borderId="0" xfId="0" applyFont="1" applyFill="1"/>
    <xf numFmtId="49" fontId="26" fillId="18" borderId="0" xfId="0" applyNumberFormat="1" applyFont="1" applyFill="1" applyAlignment="1">
      <alignment horizontal="left" indent="4"/>
    </xf>
    <xf numFmtId="49" fontId="3" fillId="18" borderId="0" xfId="0" applyNumberFormat="1" applyFont="1" applyFill="1" applyAlignment="1">
      <alignment horizontal="left" indent="4"/>
    </xf>
    <xf numFmtId="0" fontId="24" fillId="18" borderId="0" xfId="0" applyFont="1" applyFill="1"/>
    <xf numFmtId="0" fontId="0" fillId="18" borderId="0" xfId="0" applyFill="1"/>
    <xf numFmtId="49" fontId="3" fillId="17" borderId="0" xfId="0" applyNumberFormat="1" applyFont="1" applyFill="1" applyAlignment="1">
      <alignment horizontal="left" indent="3"/>
    </xf>
    <xf numFmtId="0" fontId="23" fillId="7" borderId="0" xfId="0" applyFont="1" applyFill="1" applyAlignment="1">
      <alignment horizontal="left" indent="4"/>
    </xf>
    <xf numFmtId="49" fontId="0" fillId="7" borderId="0" xfId="0" applyNumberFormat="1" applyFill="1"/>
    <xf numFmtId="49" fontId="21" fillId="0" borderId="0" xfId="0" applyNumberFormat="1" applyFont="1" applyAlignment="1">
      <alignment horizontal="left" indent="2"/>
    </xf>
    <xf numFmtId="0" fontId="3" fillId="6" borderId="0" xfId="0" applyFont="1" applyFill="1"/>
    <xf numFmtId="49" fontId="21" fillId="6" borderId="0" xfId="0" applyNumberFormat="1" applyFont="1" applyFill="1" applyAlignment="1">
      <alignment horizontal="left" indent="4"/>
    </xf>
    <xf numFmtId="0" fontId="3" fillId="7" borderId="0" xfId="0" applyFont="1" applyFill="1" applyAlignment="1">
      <alignment horizontal="left" indent="3"/>
    </xf>
    <xf numFmtId="0" fontId="3" fillId="0" borderId="0" xfId="0" applyFont="1" applyAlignment="1">
      <alignment horizontal="left"/>
    </xf>
    <xf numFmtId="49" fontId="3" fillId="7" borderId="0" xfId="0" applyNumberFormat="1" applyFont="1" applyFill="1" applyAlignment="1">
      <alignment horizontal="left" indent="4"/>
    </xf>
    <xf numFmtId="0" fontId="11" fillId="15" borderId="12" xfId="0" applyFont="1" applyFill="1" applyBorder="1" applyAlignment="1">
      <alignment horizontal="center"/>
    </xf>
    <xf numFmtId="0" fontId="11" fillId="15" borderId="13" xfId="0" applyFont="1" applyFill="1" applyBorder="1" applyAlignment="1">
      <alignment horizontal="center"/>
    </xf>
    <xf numFmtId="0" fontId="11" fillId="15" borderId="14" xfId="0" applyFont="1" applyFill="1" applyBorder="1" applyAlignment="1">
      <alignment horizontal="center"/>
    </xf>
    <xf numFmtId="0" fontId="11" fillId="11" borderId="23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2" fillId="14" borderId="31" xfId="0" applyFont="1" applyFill="1" applyBorder="1" applyAlignment="1">
      <alignment horizontal="center" vertical="center"/>
    </xf>
    <xf numFmtId="0" fontId="2" fillId="14" borderId="33" xfId="0" applyFont="1" applyFill="1" applyBorder="1" applyAlignment="1">
      <alignment horizontal="center" vertical="center"/>
    </xf>
    <xf numFmtId="0" fontId="2" fillId="14" borderId="37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25" xfId="0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5" fillId="9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0" borderId="0" xfId="0" applyFont="1" applyFill="1"/>
    <xf numFmtId="49" fontId="3" fillId="0" borderId="0" xfId="0" applyNumberFormat="1" applyFont="1" applyFill="1"/>
    <xf numFmtId="49" fontId="3" fillId="0" borderId="0" xfId="0" applyNumberFormat="1" applyFont="1" applyFill="1" applyAlignment="1">
      <alignment horizontal="left" indent="4"/>
    </xf>
    <xf numFmtId="0" fontId="0" fillId="0" borderId="0" xfId="0" applyFill="1"/>
    <xf numFmtId="49" fontId="21" fillId="0" borderId="0" xfId="0" applyNumberFormat="1" applyFont="1" applyFill="1" applyAlignment="1">
      <alignment horizontal="left" indent="5"/>
    </xf>
  </cellXfs>
  <cellStyles count="3">
    <cellStyle name="Moneda" xfId="1" builtinId="4"/>
    <cellStyle name="Normal" xfId="0" builtinId="0"/>
    <cellStyle name="Porcentaje" xfId="2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30285</xdr:colOff>
      <xdr:row>7</xdr:row>
      <xdr:rowOff>31750</xdr:rowOff>
    </xdr:from>
    <xdr:to>
      <xdr:col>8</xdr:col>
      <xdr:colOff>777875</xdr:colOff>
      <xdr:row>11</xdr:row>
      <xdr:rowOff>163149</xdr:rowOff>
    </xdr:to>
    <xdr:cxnSp macro="">
      <xdr:nvCxnSpPr>
        <xdr:cNvPr id="2" name="1 Conector angu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4002210" y="1860550"/>
          <a:ext cx="2033465" cy="1293449"/>
        </a:xfrm>
        <a:prstGeom prst="bentConnector3">
          <a:avLst>
            <a:gd name="adj1" fmla="val 9997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483395</xdr:colOff>
      <xdr:row>6</xdr:row>
      <xdr:rowOff>242094</xdr:rowOff>
    </xdr:from>
    <xdr:to>
      <xdr:col>10</xdr:col>
      <xdr:colOff>746126</xdr:colOff>
      <xdr:row>11</xdr:row>
      <xdr:rowOff>111125</xdr:rowOff>
    </xdr:to>
    <xdr:cxnSp macro="">
      <xdr:nvCxnSpPr>
        <xdr:cNvPr id="3" name="2 Conector angul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rot="16200000" flipV="1">
          <a:off x="6600032" y="1935957"/>
          <a:ext cx="1278731" cy="1053306"/>
        </a:xfrm>
        <a:prstGeom prst="bentConnector3">
          <a:avLst>
            <a:gd name="adj1" fmla="val -5914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468922</xdr:colOff>
      <xdr:row>14</xdr:row>
      <xdr:rowOff>381002</xdr:rowOff>
    </xdr:from>
    <xdr:to>
      <xdr:col>4</xdr:col>
      <xdr:colOff>468923</xdr:colOff>
      <xdr:row>16</xdr:row>
      <xdr:rowOff>14655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rot="5400000" flipH="1" flipV="1">
          <a:off x="2633296" y="4131653"/>
          <a:ext cx="243253" cy="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495301</xdr:colOff>
      <xdr:row>17</xdr:row>
      <xdr:rowOff>190508</xdr:rowOff>
    </xdr:from>
    <xdr:to>
      <xdr:col>11</xdr:col>
      <xdr:colOff>495304</xdr:colOff>
      <xdr:row>19</xdr:row>
      <xdr:rowOff>127002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16200000" flipV="1">
          <a:off x="8089906" y="4797428"/>
          <a:ext cx="336544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482602</xdr:colOff>
      <xdr:row>18</xdr:row>
      <xdr:rowOff>8</xdr:rowOff>
    </xdr:from>
    <xdr:to>
      <xdr:col>13</xdr:col>
      <xdr:colOff>482605</xdr:colOff>
      <xdr:row>19</xdr:row>
      <xdr:rowOff>139702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rot="16200000" flipV="1">
          <a:off x="9780594" y="4808541"/>
          <a:ext cx="339719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457204</xdr:colOff>
      <xdr:row>21</xdr:row>
      <xdr:rowOff>38108</xdr:rowOff>
    </xdr:from>
    <xdr:to>
      <xdr:col>13</xdr:col>
      <xdr:colOff>457207</xdr:colOff>
      <xdr:row>22</xdr:row>
      <xdr:rowOff>177802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V="1">
          <a:off x="9755196" y="5665791"/>
          <a:ext cx="339719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469903</xdr:colOff>
      <xdr:row>14</xdr:row>
      <xdr:rowOff>381008</xdr:rowOff>
    </xdr:from>
    <xdr:to>
      <xdr:col>13</xdr:col>
      <xdr:colOff>469906</xdr:colOff>
      <xdr:row>16</xdr:row>
      <xdr:rowOff>0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rot="16200000" flipV="1">
          <a:off x="9823459" y="4124327"/>
          <a:ext cx="228592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482603</xdr:colOff>
      <xdr:row>21</xdr:row>
      <xdr:rowOff>38108</xdr:rowOff>
    </xdr:from>
    <xdr:to>
      <xdr:col>11</xdr:col>
      <xdr:colOff>482606</xdr:colOff>
      <xdr:row>22</xdr:row>
      <xdr:rowOff>177802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rot="16200000" flipV="1">
          <a:off x="8075620" y="5665791"/>
          <a:ext cx="339719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469901</xdr:colOff>
      <xdr:row>12</xdr:row>
      <xdr:rowOff>50807</xdr:rowOff>
    </xdr:from>
    <xdr:to>
      <xdr:col>11</xdr:col>
      <xdr:colOff>469904</xdr:colOff>
      <xdr:row>13</xdr:row>
      <xdr:rowOff>190501</xdr:rowOff>
    </xdr:to>
    <xdr:cxnSp macro="">
      <xdr:nvCxnSpPr>
        <xdr:cNvPr id="10" name="9 Conector recto de flecha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rot="16200000" flipV="1">
          <a:off x="8067681" y="3454402"/>
          <a:ext cx="330194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444501</xdr:colOff>
      <xdr:row>12</xdr:row>
      <xdr:rowOff>12706</xdr:rowOff>
    </xdr:from>
    <xdr:to>
      <xdr:col>13</xdr:col>
      <xdr:colOff>444504</xdr:colOff>
      <xdr:row>13</xdr:row>
      <xdr:rowOff>152400</xdr:rowOff>
    </xdr:to>
    <xdr:cxnSp macro="">
      <xdr:nvCxnSpPr>
        <xdr:cNvPr id="11" name="10 Conector recto de flecha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rot="16200000" flipV="1">
          <a:off x="9747256" y="3416301"/>
          <a:ext cx="330194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584201</xdr:colOff>
      <xdr:row>8</xdr:row>
      <xdr:rowOff>9530</xdr:rowOff>
    </xdr:from>
    <xdr:to>
      <xdr:col>4</xdr:col>
      <xdr:colOff>596900</xdr:colOff>
      <xdr:row>10</xdr:row>
      <xdr:rowOff>174626</xdr:rowOff>
    </xdr:to>
    <xdr:cxnSp macro="">
      <xdr:nvCxnSpPr>
        <xdr:cNvPr id="12" name="11 Conector recto de flecha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rot="5400000">
          <a:off x="2603503" y="2686053"/>
          <a:ext cx="546096" cy="1269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12701</xdr:colOff>
      <xdr:row>8</xdr:row>
      <xdr:rowOff>12698</xdr:rowOff>
    </xdr:from>
    <xdr:to>
      <xdr:col>6</xdr:col>
      <xdr:colOff>361954</xdr:colOff>
      <xdr:row>11</xdr:row>
      <xdr:rowOff>111125</xdr:rowOff>
    </xdr:to>
    <xdr:cxnSp macro="">
      <xdr:nvCxnSpPr>
        <xdr:cNvPr id="13" name="12 Conector angular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rot="5400000">
          <a:off x="3819527" y="2587622"/>
          <a:ext cx="679452" cy="349253"/>
        </a:xfrm>
        <a:prstGeom prst="bentConnector3">
          <a:avLst>
            <a:gd name="adj1" fmla="val 93288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469900</xdr:colOff>
      <xdr:row>12</xdr:row>
      <xdr:rowOff>25406</xdr:rowOff>
    </xdr:from>
    <xdr:to>
      <xdr:col>4</xdr:col>
      <xdr:colOff>482601</xdr:colOff>
      <xdr:row>13</xdr:row>
      <xdr:rowOff>152404</xdr:rowOff>
    </xdr:to>
    <xdr:cxnSp macro="">
      <xdr:nvCxnSpPr>
        <xdr:cNvPr id="14" name="13 Conector recto de flecha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rot="5400000">
          <a:off x="2603502" y="3416304"/>
          <a:ext cx="317498" cy="1270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165098</xdr:rowOff>
    </xdr:from>
    <xdr:to>
      <xdr:col>6</xdr:col>
      <xdr:colOff>330199</xdr:colOff>
      <xdr:row>19</xdr:row>
      <xdr:rowOff>177800</xdr:rowOff>
    </xdr:to>
    <xdr:cxnSp macro="">
      <xdr:nvCxnSpPr>
        <xdr:cNvPr id="15" name="14 Conector angular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rot="16200000" flipH="1">
          <a:off x="3335336" y="4049712"/>
          <a:ext cx="1222377" cy="711199"/>
        </a:xfrm>
        <a:prstGeom prst="bentConnector3">
          <a:avLst>
            <a:gd name="adj1" fmla="val -1042"/>
          </a:avLst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215900</xdr:rowOff>
    </xdr:from>
    <xdr:to>
      <xdr:col>5</xdr:col>
      <xdr:colOff>635000</xdr:colOff>
      <xdr:row>20</xdr:row>
      <xdr:rowOff>217488</xdr:rowOff>
    </xdr:to>
    <xdr:cxnSp macro="">
      <xdr:nvCxnSpPr>
        <xdr:cNvPr id="16" name="15 Conector recto de flecha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3590925" y="5254625"/>
          <a:ext cx="377825" cy="158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495302</xdr:colOff>
      <xdr:row>14</xdr:row>
      <xdr:rowOff>381008</xdr:rowOff>
    </xdr:from>
    <xdr:to>
      <xdr:col>11</xdr:col>
      <xdr:colOff>495305</xdr:colOff>
      <xdr:row>16</xdr:row>
      <xdr:rowOff>114302</xdr:rowOff>
    </xdr:to>
    <xdr:cxnSp macro="">
      <xdr:nvCxnSpPr>
        <xdr:cNvPr id="17" name="16 Conector recto de flecha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rot="16200000" flipV="1">
          <a:off x="8086732" y="4181478"/>
          <a:ext cx="342894" cy="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468923</xdr:colOff>
      <xdr:row>16</xdr:row>
      <xdr:rowOff>175849</xdr:rowOff>
    </xdr:from>
    <xdr:to>
      <xdr:col>4</xdr:col>
      <xdr:colOff>468924</xdr:colOff>
      <xdr:row>18</xdr:row>
      <xdr:rowOff>14655</xdr:rowOff>
    </xdr:to>
    <xdr:cxnSp macro="">
      <xdr:nvCxnSpPr>
        <xdr:cNvPr id="18" name="17 Conector recto de flecha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rot="5400000" flipH="1" flipV="1">
          <a:off x="2635496" y="4533901"/>
          <a:ext cx="238856" cy="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468924</xdr:colOff>
      <xdr:row>19</xdr:row>
      <xdr:rowOff>2</xdr:rowOff>
    </xdr:from>
    <xdr:to>
      <xdr:col>4</xdr:col>
      <xdr:colOff>468925</xdr:colOff>
      <xdr:row>20</xdr:row>
      <xdr:rowOff>43962</xdr:rowOff>
    </xdr:to>
    <xdr:cxnSp macro="">
      <xdr:nvCxnSpPr>
        <xdr:cNvPr id="19" name="18 Conector recto de flecha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5400000" flipH="1" flipV="1">
          <a:off x="2632932" y="4960694"/>
          <a:ext cx="243985" cy="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387352</xdr:colOff>
      <xdr:row>8</xdr:row>
      <xdr:rowOff>12700</xdr:rowOff>
    </xdr:from>
    <xdr:to>
      <xdr:col>2</xdr:col>
      <xdr:colOff>393700</xdr:colOff>
      <xdr:row>10</xdr:row>
      <xdr:rowOff>158750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rot="5400000">
          <a:off x="1270001" y="2682876"/>
          <a:ext cx="527050" cy="634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1546225</xdr:colOff>
      <xdr:row>30</xdr:row>
      <xdr:rowOff>12700</xdr:rowOff>
    </xdr:from>
    <xdr:to>
      <xdr:col>4</xdr:col>
      <xdr:colOff>1831975</xdr:colOff>
      <xdr:row>33</xdr:row>
      <xdr:rowOff>146050</xdr:rowOff>
    </xdr:to>
    <xdr:sp macro="" textlink="">
      <xdr:nvSpPr>
        <xdr:cNvPr id="12" name="11 Abrir llav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911975" y="5759450"/>
          <a:ext cx="285750" cy="704850"/>
        </a:xfrm>
        <a:prstGeom prst="lef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4</xdr:col>
      <xdr:colOff>1584325</xdr:colOff>
      <xdr:row>58</xdr:row>
      <xdr:rowOff>44450</xdr:rowOff>
    </xdr:from>
    <xdr:to>
      <xdr:col>4</xdr:col>
      <xdr:colOff>1870075</xdr:colOff>
      <xdr:row>61</xdr:row>
      <xdr:rowOff>177800</xdr:rowOff>
    </xdr:to>
    <xdr:sp macro="" textlink="">
      <xdr:nvSpPr>
        <xdr:cNvPr id="13" name="12 Abrir llav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8124825" y="11156950"/>
          <a:ext cx="285750" cy="704850"/>
        </a:xfrm>
        <a:prstGeom prst="lef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4</xdr:col>
      <xdr:colOff>1552575</xdr:colOff>
      <xdr:row>79</xdr:row>
      <xdr:rowOff>34925</xdr:rowOff>
    </xdr:from>
    <xdr:to>
      <xdr:col>4</xdr:col>
      <xdr:colOff>1838325</xdr:colOff>
      <xdr:row>82</xdr:row>
      <xdr:rowOff>168275</xdr:rowOff>
    </xdr:to>
    <xdr:sp macro="" textlink="">
      <xdr:nvSpPr>
        <xdr:cNvPr id="14" name="13 Abrir llav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8093075" y="15163800"/>
          <a:ext cx="285750" cy="704850"/>
        </a:xfrm>
        <a:prstGeom prst="lef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4</xdr:col>
      <xdr:colOff>79375</xdr:colOff>
      <xdr:row>32</xdr:row>
      <xdr:rowOff>63500</xdr:rowOff>
    </xdr:from>
    <xdr:to>
      <xdr:col>4</xdr:col>
      <xdr:colOff>1349375</xdr:colOff>
      <xdr:row>33</xdr:row>
      <xdr:rowOff>95250</xdr:rowOff>
    </xdr:to>
    <xdr:cxnSp macro="">
      <xdr:nvCxnSpPr>
        <xdr:cNvPr id="19" name="18 Conector recto de flecha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V="1">
          <a:off x="5857875" y="6191250"/>
          <a:ext cx="1270000" cy="2222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111125</xdr:colOff>
      <xdr:row>33</xdr:row>
      <xdr:rowOff>111125</xdr:rowOff>
    </xdr:from>
    <xdr:to>
      <xdr:col>4</xdr:col>
      <xdr:colOff>1584325</xdr:colOff>
      <xdr:row>60</xdr:row>
      <xdr:rowOff>15875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endCxn id="13" idx="1"/>
        </xdr:cNvCxnSpPr>
      </xdr:nvCxnSpPr>
      <xdr:spPr>
        <a:xfrm>
          <a:off x="6651625" y="6588125"/>
          <a:ext cx="1473200" cy="49212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33</xdr:row>
      <xdr:rowOff>111125</xdr:rowOff>
    </xdr:from>
    <xdr:to>
      <xdr:col>4</xdr:col>
      <xdr:colOff>1552575</xdr:colOff>
      <xdr:row>81</xdr:row>
      <xdr:rowOff>6350</xdr:rowOff>
    </xdr:to>
    <xdr:cxnSp macro="">
      <xdr:nvCxnSpPr>
        <xdr:cNvPr id="23" name="22 Conector recto de flecha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endCxn id="14" idx="1"/>
        </xdr:cNvCxnSpPr>
      </xdr:nvCxnSpPr>
      <xdr:spPr>
        <a:xfrm>
          <a:off x="6635750" y="6588125"/>
          <a:ext cx="1457325" cy="89281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27</xdr:row>
      <xdr:rowOff>63500</xdr:rowOff>
    </xdr:from>
    <xdr:to>
      <xdr:col>9</xdr:col>
      <xdr:colOff>311150</xdr:colOff>
      <xdr:row>34</xdr:row>
      <xdr:rowOff>63502</xdr:rowOff>
    </xdr:to>
    <xdr:cxnSp macro="">
      <xdr:nvCxnSpPr>
        <xdr:cNvPr id="27" name="26 Conector recto de flecha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V="1">
          <a:off x="12611100" y="5245100"/>
          <a:ext cx="1778000" cy="133350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</xdr:colOff>
      <xdr:row>6</xdr:row>
      <xdr:rowOff>127000</xdr:rowOff>
    </xdr:from>
    <xdr:to>
      <xdr:col>9</xdr:col>
      <xdr:colOff>238125</xdr:colOff>
      <xdr:row>26</xdr:row>
      <xdr:rowOff>111125</xdr:rowOff>
    </xdr:to>
    <xdr:cxnSp macro="">
      <xdr:nvCxnSpPr>
        <xdr:cNvPr id="33" name="32 Conector recto de flecha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10207625" y="1301750"/>
          <a:ext cx="4079875" cy="382587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4</xdr:row>
      <xdr:rowOff>95250</xdr:rowOff>
    </xdr:from>
    <xdr:to>
      <xdr:col>13</xdr:col>
      <xdr:colOff>238125</xdr:colOff>
      <xdr:row>25</xdr:row>
      <xdr:rowOff>76200</xdr:rowOff>
    </xdr:to>
    <xdr:cxnSp macro="">
      <xdr:nvCxnSpPr>
        <xdr:cNvPr id="38" name="37 Conector recto de flecha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17170400" y="857250"/>
          <a:ext cx="1704975" cy="40132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7</xdr:row>
      <xdr:rowOff>114300</xdr:rowOff>
    </xdr:from>
    <xdr:to>
      <xdr:col>13</xdr:col>
      <xdr:colOff>228600</xdr:colOff>
      <xdr:row>29</xdr:row>
      <xdr:rowOff>95250</xdr:rowOff>
    </xdr:to>
    <xdr:cxnSp macro="">
      <xdr:nvCxnSpPr>
        <xdr:cNvPr id="41" name="40 Conector recto de flecha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 flipV="1">
          <a:off x="17164050" y="1447800"/>
          <a:ext cx="2495550" cy="42100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4</xdr:row>
      <xdr:rowOff>127001</xdr:rowOff>
    </xdr:from>
    <xdr:to>
      <xdr:col>17</xdr:col>
      <xdr:colOff>206375</xdr:colOff>
      <xdr:row>30</xdr:row>
      <xdr:rowOff>127000</xdr:rowOff>
    </xdr:to>
    <xdr:cxnSp macro="">
      <xdr:nvCxnSpPr>
        <xdr:cNvPr id="46" name="45 Conector recto de flecha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V="1">
          <a:off x="17145000" y="889001"/>
          <a:ext cx="6556375" cy="4984749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27</xdr:row>
      <xdr:rowOff>95250</xdr:rowOff>
    </xdr:from>
    <xdr:to>
      <xdr:col>15</xdr:col>
      <xdr:colOff>698500</xdr:colOff>
      <xdr:row>31</xdr:row>
      <xdr:rowOff>127001</xdr:rowOff>
    </xdr:to>
    <xdr:cxnSp macro="">
      <xdr:nvCxnSpPr>
        <xdr:cNvPr id="49" name="48 Conector recto de flecha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V="1">
          <a:off x="17145000" y="5270500"/>
          <a:ext cx="5524500" cy="79375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29</xdr:row>
      <xdr:rowOff>127000</xdr:rowOff>
    </xdr:from>
    <xdr:to>
      <xdr:col>15</xdr:col>
      <xdr:colOff>698500</xdr:colOff>
      <xdr:row>32</xdr:row>
      <xdr:rowOff>95250</xdr:rowOff>
    </xdr:to>
    <xdr:cxnSp macro="">
      <xdr:nvCxnSpPr>
        <xdr:cNvPr id="52" name="51 Conector recto de flecha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V="1">
          <a:off x="17145000" y="5683250"/>
          <a:ext cx="5524500" cy="539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666750</xdr:colOff>
      <xdr:row>6</xdr:row>
      <xdr:rowOff>47625</xdr:rowOff>
    </xdr:from>
    <xdr:to>
      <xdr:col>17</xdr:col>
      <xdr:colOff>682628</xdr:colOff>
      <xdr:row>26</xdr:row>
      <xdr:rowOff>127000</xdr:rowOff>
    </xdr:to>
    <xdr:cxnSp macro="">
      <xdr:nvCxnSpPr>
        <xdr:cNvPr id="56" name="55 Conector recto de flecha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>
          <a:off x="23082250" y="1222375"/>
          <a:ext cx="1539878" cy="3968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2206625</xdr:colOff>
      <xdr:row>4</xdr:row>
      <xdr:rowOff>79375</xdr:rowOff>
    </xdr:from>
    <xdr:to>
      <xdr:col>15</xdr:col>
      <xdr:colOff>714375</xdr:colOff>
      <xdr:row>28</xdr:row>
      <xdr:rowOff>127000</xdr:rowOff>
    </xdr:to>
    <xdr:cxnSp macro="">
      <xdr:nvCxnSpPr>
        <xdr:cNvPr id="59" name="58 Conector recto de flecha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12382500" y="857250"/>
          <a:ext cx="10302875" cy="46672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32</xdr:row>
      <xdr:rowOff>127000</xdr:rowOff>
    </xdr:from>
    <xdr:to>
      <xdr:col>21</xdr:col>
      <xdr:colOff>1460500</xdr:colOff>
      <xdr:row>38</xdr:row>
      <xdr:rowOff>142875</xdr:rowOff>
    </xdr:to>
    <xdr:cxnSp macro="">
      <xdr:nvCxnSpPr>
        <xdr:cNvPr id="64" name="63 Conector recto de flecha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H="1">
          <a:off x="28114625" y="6413500"/>
          <a:ext cx="4540250" cy="119062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44</xdr:row>
      <xdr:rowOff>158750</xdr:rowOff>
    </xdr:from>
    <xdr:to>
      <xdr:col>21</xdr:col>
      <xdr:colOff>1555751</xdr:colOff>
      <xdr:row>58</xdr:row>
      <xdr:rowOff>111126</xdr:rowOff>
    </xdr:to>
    <xdr:cxnSp macro="">
      <xdr:nvCxnSpPr>
        <xdr:cNvPr id="67" name="66 Conector recto de flecha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 flipV="1">
          <a:off x="28114625" y="8794750"/>
          <a:ext cx="4635501" cy="265112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714375</xdr:colOff>
      <xdr:row>6</xdr:row>
      <xdr:rowOff>63500</xdr:rowOff>
    </xdr:from>
    <xdr:to>
      <xdr:col>17</xdr:col>
      <xdr:colOff>682626</xdr:colOff>
      <xdr:row>13</xdr:row>
      <xdr:rowOff>111125</xdr:rowOff>
    </xdr:to>
    <xdr:cxnSp macro="">
      <xdr:nvCxnSpPr>
        <xdr:cNvPr id="70" name="69 Conector recto de flecha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23891875" y="1238250"/>
          <a:ext cx="730251" cy="141287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1546225</xdr:colOff>
      <xdr:row>30</xdr:row>
      <xdr:rowOff>12700</xdr:rowOff>
    </xdr:from>
    <xdr:to>
      <xdr:col>1</xdr:col>
      <xdr:colOff>1831975</xdr:colOff>
      <xdr:row>33</xdr:row>
      <xdr:rowOff>146050</xdr:rowOff>
    </xdr:to>
    <xdr:sp macro="" textlink="">
      <xdr:nvSpPr>
        <xdr:cNvPr id="2" name="1 Abrir llav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661150" y="5927725"/>
          <a:ext cx="0" cy="704850"/>
        </a:xfrm>
        <a:prstGeom prst="lef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7"/>
  <sheetViews>
    <sheetView zoomScale="75" zoomScaleNormal="75" workbookViewId="0">
      <selection activeCell="M16" sqref="L16:M16"/>
    </sheetView>
  </sheetViews>
  <sheetFormatPr baseColWidth="10" defaultRowHeight="14.5" x14ac:dyDescent="0.35"/>
  <cols>
    <col min="1" max="1" width="19" bestFit="1" customWidth="1"/>
    <col min="2" max="2" width="27.26953125" customWidth="1"/>
    <col min="3" max="3" width="36.54296875" customWidth="1"/>
    <col min="4" max="5" width="12.7265625" customWidth="1"/>
    <col min="6" max="8" width="13.7265625" customWidth="1"/>
    <col min="9" max="9" width="15.1796875" customWidth="1"/>
    <col min="10" max="10" width="17" bestFit="1" customWidth="1"/>
  </cols>
  <sheetData>
    <row r="3" spans="1:10" ht="33.5" x14ac:dyDescent="0.75">
      <c r="C3" s="124" t="s">
        <v>151</v>
      </c>
      <c r="D3" s="125"/>
      <c r="E3" s="125"/>
    </row>
    <row r="4" spans="1:10" ht="15" thickBot="1" x14ac:dyDescent="0.4"/>
    <row r="5" spans="1:10" ht="31.5" thickBot="1" x14ac:dyDescent="0.75">
      <c r="B5" s="126"/>
      <c r="C5" s="127" t="s">
        <v>152</v>
      </c>
      <c r="D5" s="127"/>
      <c r="E5" s="128"/>
      <c r="F5" s="279" t="s">
        <v>153</v>
      </c>
      <c r="G5" s="279"/>
      <c r="H5" s="279"/>
      <c r="I5" s="280"/>
      <c r="J5" s="129" t="s">
        <v>154</v>
      </c>
    </row>
    <row r="6" spans="1:10" ht="15" thickBot="1" x14ac:dyDescent="0.4">
      <c r="A6" s="130" t="s">
        <v>155</v>
      </c>
      <c r="B6" s="131" t="s">
        <v>156</v>
      </c>
      <c r="C6" s="132" t="s">
        <v>157</v>
      </c>
      <c r="D6" s="133" t="s">
        <v>158</v>
      </c>
      <c r="E6" s="132"/>
      <c r="F6" s="134" t="s">
        <v>117</v>
      </c>
      <c r="G6" s="135" t="s">
        <v>159</v>
      </c>
      <c r="H6" s="135" t="s">
        <v>160</v>
      </c>
      <c r="I6" s="136" t="s">
        <v>161</v>
      </c>
      <c r="J6" s="137" t="s">
        <v>162</v>
      </c>
    </row>
    <row r="7" spans="1:10" x14ac:dyDescent="0.35">
      <c r="A7" s="77"/>
      <c r="B7" s="138" t="s">
        <v>40</v>
      </c>
      <c r="C7" s="139" t="s">
        <v>163</v>
      </c>
      <c r="D7" s="140" t="s">
        <v>164</v>
      </c>
      <c r="E7" s="281" t="s">
        <v>165</v>
      </c>
      <c r="J7" s="137"/>
    </row>
    <row r="8" spans="1:10" x14ac:dyDescent="0.35">
      <c r="B8" s="141" t="s">
        <v>40</v>
      </c>
      <c r="C8" s="139" t="s">
        <v>166</v>
      </c>
      <c r="D8" s="142" t="s">
        <v>164</v>
      </c>
      <c r="E8" s="282"/>
      <c r="J8" s="137"/>
    </row>
    <row r="9" spans="1:10" ht="15" thickBot="1" x14ac:dyDescent="0.4">
      <c r="B9" s="141" t="s">
        <v>40</v>
      </c>
      <c r="C9" s="139" t="s">
        <v>167</v>
      </c>
      <c r="D9" s="142" t="s">
        <v>168</v>
      </c>
      <c r="E9" s="283"/>
      <c r="J9" s="137"/>
    </row>
    <row r="10" spans="1:10" ht="15" thickBot="1" x14ac:dyDescent="0.4">
      <c r="J10" s="137"/>
    </row>
    <row r="11" spans="1:10" x14ac:dyDescent="0.35">
      <c r="A11" s="77"/>
      <c r="B11" s="141" t="s">
        <v>169</v>
      </c>
      <c r="C11" s="143" t="s">
        <v>163</v>
      </c>
      <c r="D11" s="144" t="s">
        <v>164</v>
      </c>
      <c r="E11" s="281" t="s">
        <v>165</v>
      </c>
      <c r="J11" s="137"/>
    </row>
    <row r="12" spans="1:10" x14ac:dyDescent="0.35">
      <c r="B12" s="141" t="s">
        <v>169</v>
      </c>
      <c r="C12" s="143" t="s">
        <v>166</v>
      </c>
      <c r="D12" s="144" t="s">
        <v>164</v>
      </c>
      <c r="E12" s="282"/>
      <c r="J12" s="137"/>
    </row>
    <row r="13" spans="1:10" ht="15" thickBot="1" x14ac:dyDescent="0.4">
      <c r="B13" s="141" t="s">
        <v>169</v>
      </c>
      <c r="C13" s="143" t="s">
        <v>167</v>
      </c>
      <c r="D13" s="144" t="s">
        <v>168</v>
      </c>
      <c r="E13" s="283"/>
      <c r="J13" s="137"/>
    </row>
    <row r="14" spans="1:10" x14ac:dyDescent="0.35">
      <c r="J14" s="137"/>
    </row>
    <row r="15" spans="1:10" x14ac:dyDescent="0.35">
      <c r="A15" s="145" t="s">
        <v>40</v>
      </c>
      <c r="B15" s="146"/>
      <c r="C15" s="147" t="s">
        <v>170</v>
      </c>
      <c r="D15" s="101" t="s">
        <v>164</v>
      </c>
      <c r="E15" s="99"/>
      <c r="F15" s="99" t="s">
        <v>171</v>
      </c>
      <c r="G15" s="99" t="s">
        <v>171</v>
      </c>
      <c r="H15" s="99" t="s">
        <v>171</v>
      </c>
      <c r="I15" s="148" t="s">
        <v>171</v>
      </c>
      <c r="J15" s="137"/>
    </row>
    <row r="16" spans="1:10" ht="15" thickBot="1" x14ac:dyDescent="0.4">
      <c r="J16" s="137"/>
    </row>
    <row r="17" spans="1:10" x14ac:dyDescent="0.35">
      <c r="A17" s="77"/>
      <c r="B17" s="141" t="s">
        <v>172</v>
      </c>
      <c r="C17" s="143" t="s">
        <v>163</v>
      </c>
      <c r="D17" s="144" t="s">
        <v>164</v>
      </c>
      <c r="E17" s="281" t="s">
        <v>165</v>
      </c>
      <c r="J17" s="137"/>
    </row>
    <row r="18" spans="1:10" x14ac:dyDescent="0.35">
      <c r="B18" s="141" t="s">
        <v>172</v>
      </c>
      <c r="C18" s="143" t="s">
        <v>166</v>
      </c>
      <c r="D18" s="144" t="s">
        <v>164</v>
      </c>
      <c r="E18" s="282"/>
      <c r="J18" s="137"/>
    </row>
    <row r="19" spans="1:10" ht="15" thickBot="1" x14ac:dyDescent="0.4">
      <c r="B19" s="141" t="s">
        <v>172</v>
      </c>
      <c r="C19" s="143" t="s">
        <v>167</v>
      </c>
      <c r="D19" s="144" t="s">
        <v>168</v>
      </c>
      <c r="E19" s="283"/>
      <c r="J19" s="137"/>
    </row>
    <row r="20" spans="1:10" x14ac:dyDescent="0.35">
      <c r="J20" s="137"/>
    </row>
    <row r="21" spans="1:10" x14ac:dyDescent="0.35">
      <c r="A21" s="145" t="s">
        <v>173</v>
      </c>
      <c r="B21" s="146"/>
      <c r="C21" s="147" t="s">
        <v>170</v>
      </c>
      <c r="D21" s="101" t="s">
        <v>164</v>
      </c>
      <c r="E21" s="99"/>
      <c r="F21" s="99" t="s">
        <v>171</v>
      </c>
      <c r="G21" s="99" t="s">
        <v>171</v>
      </c>
      <c r="H21" s="99" t="s">
        <v>171</v>
      </c>
      <c r="I21" s="148" t="s">
        <v>171</v>
      </c>
      <c r="J21" s="137"/>
    </row>
    <row r="22" spans="1:10" x14ac:dyDescent="0.35">
      <c r="J22" s="137"/>
    </row>
    <row r="23" spans="1:10" x14ac:dyDescent="0.35">
      <c r="B23" s="141"/>
      <c r="C23" s="143" t="s">
        <v>167</v>
      </c>
      <c r="D23" s="144" t="s">
        <v>168</v>
      </c>
      <c r="E23" s="143"/>
      <c r="F23" s="147" t="s">
        <v>168</v>
      </c>
      <c r="G23" s="101" t="s">
        <v>168</v>
      </c>
      <c r="H23" s="101" t="s">
        <v>168</v>
      </c>
      <c r="I23" s="149" t="s">
        <v>168</v>
      </c>
      <c r="J23" s="137"/>
    </row>
    <row r="24" spans="1:10" ht="15" thickBot="1" x14ac:dyDescent="0.4">
      <c r="B24" s="150"/>
      <c r="C24" s="151" t="s">
        <v>174</v>
      </c>
      <c r="D24" s="152"/>
      <c r="E24" s="151"/>
      <c r="F24" s="147"/>
      <c r="G24" s="101"/>
      <c r="H24" s="101"/>
      <c r="I24" s="149"/>
      <c r="J24" s="137"/>
    </row>
    <row r="25" spans="1:10" ht="31.5" thickBot="1" x14ac:dyDescent="0.75">
      <c r="B25" s="153"/>
      <c r="C25" s="154" t="s">
        <v>152</v>
      </c>
      <c r="D25" s="155"/>
      <c r="E25" s="156" t="s">
        <v>165</v>
      </c>
      <c r="F25" s="284" t="s">
        <v>175</v>
      </c>
      <c r="G25" s="285"/>
      <c r="H25" s="285"/>
      <c r="I25" s="286"/>
      <c r="J25" s="137"/>
    </row>
    <row r="26" spans="1:10" ht="31.5" thickBot="1" x14ac:dyDescent="0.75">
      <c r="B26" s="287" t="s">
        <v>176</v>
      </c>
      <c r="C26" s="288"/>
      <c r="D26" s="288"/>
      <c r="E26" s="288"/>
      <c r="F26" s="288"/>
      <c r="G26" s="288"/>
      <c r="H26" s="288"/>
      <c r="I26" s="289"/>
      <c r="J26" s="137"/>
    </row>
    <row r="27" spans="1:10" ht="31.5" thickBot="1" x14ac:dyDescent="0.75">
      <c r="B27" s="276" t="s">
        <v>177</v>
      </c>
      <c r="C27" s="277"/>
      <c r="D27" s="277"/>
      <c r="E27" s="277"/>
      <c r="F27" s="277"/>
      <c r="G27" s="277"/>
      <c r="H27" s="277"/>
      <c r="I27" s="277"/>
      <c r="J27" s="278"/>
    </row>
  </sheetData>
  <mergeCells count="7">
    <mergeCell ref="B27:J27"/>
    <mergeCell ref="F5:I5"/>
    <mergeCell ref="E7:E9"/>
    <mergeCell ref="E11:E13"/>
    <mergeCell ref="E17:E19"/>
    <mergeCell ref="F25:I25"/>
    <mergeCell ref="B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9"/>
  <sheetViews>
    <sheetView topLeftCell="A3" zoomScale="75" zoomScaleNormal="75" workbookViewId="0">
      <selection activeCell="S11" sqref="R11:S11"/>
    </sheetView>
  </sheetViews>
  <sheetFormatPr baseColWidth="10" defaultRowHeight="14.5" x14ac:dyDescent="0.35"/>
  <cols>
    <col min="2" max="2" width="5.7265625" customWidth="1"/>
    <col min="4" max="4" width="5.7265625" customWidth="1"/>
    <col min="5" max="5" width="19.54296875" customWidth="1"/>
    <col min="6" max="6" width="5.7265625" customWidth="1"/>
    <col min="7" max="7" width="13.54296875" customWidth="1"/>
    <col min="8" max="8" width="5.7265625" customWidth="1"/>
    <col min="9" max="9" width="14.54296875" customWidth="1"/>
    <col min="10" max="10" width="17.26953125" customWidth="1"/>
    <col min="11" max="11" width="5.7265625" customWidth="1"/>
    <col min="12" max="12" width="19.81640625" customWidth="1"/>
    <col min="13" max="13" width="5.7265625" customWidth="1"/>
    <col min="14" max="14" width="18.81640625" customWidth="1"/>
    <col min="15" max="15" width="5.7265625" customWidth="1"/>
  </cols>
  <sheetData>
    <row r="2" spans="2:15" ht="15" thickBot="1" x14ac:dyDescent="0.4"/>
    <row r="3" spans="2:15" ht="31" x14ac:dyDescent="0.7">
      <c r="B3" s="88"/>
      <c r="C3" s="89"/>
      <c r="D3" s="89"/>
      <c r="E3" s="89"/>
      <c r="F3" s="89"/>
      <c r="G3" s="290" t="s">
        <v>178</v>
      </c>
      <c r="H3" s="290"/>
      <c r="I3" s="290"/>
      <c r="J3" s="290"/>
      <c r="K3" s="89"/>
      <c r="L3" s="89"/>
      <c r="M3" s="89"/>
      <c r="N3" s="89"/>
      <c r="O3" s="91"/>
    </row>
    <row r="4" spans="2:15" ht="31" x14ac:dyDescent="0.7">
      <c r="B4" s="92"/>
      <c r="E4" s="157" t="s">
        <v>179</v>
      </c>
      <c r="G4" s="158"/>
      <c r="O4" s="93"/>
    </row>
    <row r="5" spans="2:15" x14ac:dyDescent="0.35">
      <c r="B5" s="92"/>
      <c r="O5" s="93"/>
    </row>
    <row r="6" spans="2:15" ht="15" thickBot="1" x14ac:dyDescent="0.4">
      <c r="B6" s="92"/>
      <c r="O6" s="93"/>
    </row>
    <row r="7" spans="2:15" ht="19" thickBot="1" x14ac:dyDescent="0.5">
      <c r="B7" s="77"/>
      <c r="C7" s="1"/>
      <c r="D7" s="1"/>
      <c r="E7" s="1"/>
      <c r="F7" s="1"/>
      <c r="G7" s="1"/>
      <c r="H7" s="1"/>
      <c r="I7" s="291" t="s">
        <v>180</v>
      </c>
      <c r="J7" s="292"/>
      <c r="K7" s="1"/>
      <c r="L7" s="1"/>
      <c r="M7" s="1"/>
      <c r="N7" s="1"/>
      <c r="O7" s="93"/>
    </row>
    <row r="8" spans="2:15" ht="44" thickBot="1" x14ac:dyDescent="0.4">
      <c r="B8" s="77"/>
      <c r="C8" s="159" t="s">
        <v>181</v>
      </c>
      <c r="D8" s="1"/>
      <c r="E8" s="160" t="s">
        <v>182</v>
      </c>
      <c r="F8" s="1"/>
      <c r="G8" s="161" t="s">
        <v>183</v>
      </c>
      <c r="H8" s="1"/>
      <c r="I8" s="1"/>
      <c r="J8" s="1"/>
      <c r="K8" s="1"/>
      <c r="L8" s="1"/>
      <c r="M8" s="1"/>
      <c r="N8" s="1"/>
      <c r="O8" s="93"/>
    </row>
    <row r="9" spans="2:15" x14ac:dyDescent="0.35">
      <c r="B9" s="7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3"/>
    </row>
    <row r="10" spans="2:15" x14ac:dyDescent="0.35">
      <c r="B10" s="7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3"/>
    </row>
    <row r="11" spans="2:15" ht="15" thickBot="1" x14ac:dyDescent="0.4">
      <c r="B11" s="7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3"/>
    </row>
    <row r="12" spans="2:15" ht="19" thickBot="1" x14ac:dyDescent="0.5">
      <c r="B12" s="77"/>
      <c r="C12" s="291" t="s">
        <v>184</v>
      </c>
      <c r="D12" s="293"/>
      <c r="E12" s="293"/>
      <c r="F12" s="292"/>
      <c r="G12" s="1"/>
      <c r="H12" s="1"/>
      <c r="I12" s="1"/>
      <c r="J12" s="1"/>
      <c r="K12" s="1"/>
      <c r="L12" s="291" t="s">
        <v>185</v>
      </c>
      <c r="M12" s="293"/>
      <c r="N12" s="292"/>
      <c r="O12" s="93"/>
    </row>
    <row r="13" spans="2:15" x14ac:dyDescent="0.35">
      <c r="B13" s="7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3"/>
    </row>
    <row r="14" spans="2:15" ht="15" thickBot="1" x14ac:dyDescent="0.4">
      <c r="B14" s="7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3"/>
    </row>
    <row r="15" spans="2:15" ht="31.5" thickBot="1" x14ac:dyDescent="0.4">
      <c r="B15" s="77"/>
      <c r="C15" s="1"/>
      <c r="D15" s="1"/>
      <c r="E15" s="162" t="s">
        <v>186</v>
      </c>
      <c r="F15" s="1"/>
      <c r="G15" s="1"/>
      <c r="H15" s="1"/>
      <c r="I15" s="1"/>
      <c r="J15" s="1"/>
      <c r="K15" s="1"/>
      <c r="L15" s="163" t="s">
        <v>187</v>
      </c>
      <c r="M15" s="1"/>
      <c r="N15" s="163" t="s">
        <v>188</v>
      </c>
      <c r="O15" s="93"/>
    </row>
    <row r="16" spans="2:15" ht="15" thickBot="1" x14ac:dyDescent="0.4">
      <c r="B16" s="7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3"/>
    </row>
    <row r="17" spans="2:15" ht="15" thickBot="1" x14ac:dyDescent="0.4">
      <c r="B17" s="77"/>
      <c r="C17" s="1"/>
      <c r="D17" s="1"/>
      <c r="E17" s="62" t="s">
        <v>189</v>
      </c>
      <c r="F17" s="1"/>
      <c r="G17" s="1"/>
      <c r="H17" s="1"/>
      <c r="I17" s="1"/>
      <c r="J17" s="1"/>
      <c r="K17" s="1"/>
      <c r="L17" s="1"/>
      <c r="M17" s="1"/>
      <c r="N17" s="1"/>
      <c r="O17" s="93"/>
    </row>
    <row r="18" spans="2:15" ht="15" thickBot="1" x14ac:dyDescent="0.4">
      <c r="B18" s="77"/>
      <c r="C18" s="1"/>
      <c r="D18" s="1"/>
      <c r="E18" s="1"/>
      <c r="F18" s="1"/>
      <c r="G18" s="1"/>
      <c r="H18" s="1"/>
      <c r="I18" s="1"/>
      <c r="J18" s="1"/>
      <c r="K18" s="1"/>
      <c r="L18" s="62" t="s">
        <v>190</v>
      </c>
      <c r="M18" s="1"/>
      <c r="N18" s="62" t="s">
        <v>190</v>
      </c>
      <c r="O18" s="93"/>
    </row>
    <row r="19" spans="2:15" ht="15" thickBot="1" x14ac:dyDescent="0.4">
      <c r="B19" s="77"/>
      <c r="C19" s="1"/>
      <c r="D19" s="1"/>
      <c r="E19" s="62" t="s">
        <v>190</v>
      </c>
      <c r="F19" s="1"/>
      <c r="G19" s="294" t="s">
        <v>191</v>
      </c>
      <c r="H19" s="295"/>
      <c r="I19" s="295"/>
      <c r="J19" s="296"/>
      <c r="K19" s="1"/>
      <c r="L19" s="1"/>
      <c r="M19" s="1"/>
      <c r="N19" s="1"/>
      <c r="O19" s="93"/>
    </row>
    <row r="20" spans="2:15" ht="15" thickBot="1" x14ac:dyDescent="0.4">
      <c r="B20" s="77"/>
      <c r="C20" s="1"/>
      <c r="D20" s="1"/>
      <c r="E20" s="1"/>
      <c r="F20" s="1"/>
      <c r="G20" s="71"/>
      <c r="H20" s="164"/>
      <c r="I20" s="164"/>
      <c r="J20" s="165"/>
      <c r="K20" s="1"/>
      <c r="L20" s="1"/>
      <c r="M20" s="1"/>
      <c r="N20" s="1"/>
      <c r="O20" s="93"/>
    </row>
    <row r="21" spans="2:15" ht="32" thickBot="1" x14ac:dyDescent="0.65">
      <c r="B21" s="77"/>
      <c r="C21" s="1"/>
      <c r="D21" s="1"/>
      <c r="E21" s="166" t="s">
        <v>192</v>
      </c>
      <c r="F21" s="1"/>
      <c r="G21" s="166" t="s">
        <v>193</v>
      </c>
      <c r="H21" s="167"/>
      <c r="I21" s="168" t="s">
        <v>194</v>
      </c>
      <c r="J21" s="166" t="s">
        <v>195</v>
      </c>
      <c r="K21" s="169" t="s">
        <v>196</v>
      </c>
      <c r="L21" s="166" t="s">
        <v>197</v>
      </c>
      <c r="M21" s="170" t="s">
        <v>194</v>
      </c>
      <c r="N21" s="166" t="s">
        <v>197</v>
      </c>
      <c r="O21" s="93"/>
    </row>
    <row r="22" spans="2:15" ht="15" thickBot="1" x14ac:dyDescent="0.4">
      <c r="B22" s="77"/>
      <c r="C22" s="1"/>
      <c r="D22" s="1"/>
      <c r="E22" s="1"/>
      <c r="F22" s="1"/>
      <c r="G22" s="82"/>
      <c r="H22" s="32"/>
      <c r="I22" s="32"/>
      <c r="J22" s="85"/>
      <c r="K22" s="1"/>
      <c r="L22" s="1"/>
      <c r="M22" s="1"/>
      <c r="N22" s="1"/>
      <c r="O22" s="93"/>
    </row>
    <row r="23" spans="2:15" ht="15" thickBot="1" x14ac:dyDescent="0.4">
      <c r="B23" s="7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3"/>
    </row>
    <row r="24" spans="2:15" ht="29.5" thickBot="1" x14ac:dyDescent="0.4">
      <c r="B24" s="77"/>
      <c r="C24" s="1"/>
      <c r="D24" s="1"/>
      <c r="E24" s="1"/>
      <c r="F24" s="1"/>
      <c r="G24" s="1"/>
      <c r="H24" s="1"/>
      <c r="I24" s="1"/>
      <c r="J24" s="1"/>
      <c r="K24" s="1"/>
      <c r="L24" s="163" t="s">
        <v>198</v>
      </c>
      <c r="M24" s="1"/>
      <c r="N24" s="163" t="s">
        <v>198</v>
      </c>
      <c r="O24" s="93"/>
    </row>
    <row r="25" spans="2:15" x14ac:dyDescent="0.35">
      <c r="B25" s="92"/>
      <c r="O25" s="93"/>
    </row>
    <row r="26" spans="2:15" ht="15" thickBot="1" x14ac:dyDescent="0.4">
      <c r="B26" s="9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96"/>
    </row>
    <row r="28" spans="2:15" x14ac:dyDescent="0.35">
      <c r="D28" t="s">
        <v>199</v>
      </c>
      <c r="E28" t="s">
        <v>200</v>
      </c>
      <c r="K28" t="s">
        <v>201</v>
      </c>
      <c r="L28" t="s">
        <v>202</v>
      </c>
    </row>
    <row r="29" spans="2:15" x14ac:dyDescent="0.35">
      <c r="D29" t="s">
        <v>203</v>
      </c>
      <c r="E29" t="s">
        <v>204</v>
      </c>
    </row>
  </sheetData>
  <mergeCells count="5">
    <mergeCell ref="G3:J3"/>
    <mergeCell ref="I7:J7"/>
    <mergeCell ref="C12:F12"/>
    <mergeCell ref="L12:N12"/>
    <mergeCell ref="G19:J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85"/>
  <sheetViews>
    <sheetView topLeftCell="C1" zoomScale="55" zoomScaleNormal="55" workbookViewId="0">
      <selection activeCell="I13" sqref="I13"/>
    </sheetView>
  </sheetViews>
  <sheetFormatPr baseColWidth="10" defaultRowHeight="14.5" x14ac:dyDescent="0.35"/>
  <cols>
    <col min="1" max="1" width="2.54296875" customWidth="1"/>
    <col min="2" max="2" width="30.453125" bestFit="1" customWidth="1"/>
    <col min="3" max="3" width="21.7265625" customWidth="1"/>
    <col min="4" max="4" width="34.453125" bestFit="1" customWidth="1"/>
    <col min="5" max="5" width="10.7265625" customWidth="1"/>
    <col min="6" max="6" width="37" bestFit="1" customWidth="1"/>
    <col min="7" max="7" width="41.81640625" bestFit="1" customWidth="1"/>
    <col min="8" max="8" width="3.81640625" customWidth="1"/>
    <col min="9" max="9" width="3.54296875" style="2" customWidth="1"/>
    <col min="10" max="10" width="6.7265625" customWidth="1"/>
    <col min="11" max="11" width="34.453125" bestFit="1" customWidth="1"/>
    <col min="12" max="12" width="6" customWidth="1"/>
    <col min="15" max="15" width="27.1796875" bestFit="1" customWidth="1"/>
    <col min="16" max="16" width="4.453125" customWidth="1"/>
    <col min="19" max="19" width="50.453125" bestFit="1" customWidth="1"/>
    <col min="21" max="21" width="35.54296875" bestFit="1" customWidth="1"/>
    <col min="22" max="22" width="31.54296875" bestFit="1" customWidth="1"/>
  </cols>
  <sheetData>
    <row r="1" spans="2:19" ht="21.5" thickBot="1" x14ac:dyDescent="0.55000000000000004">
      <c r="D1" s="68" t="s">
        <v>131</v>
      </c>
      <c r="E1" s="69"/>
      <c r="F1" s="69"/>
      <c r="G1" s="70"/>
    </row>
    <row r="2" spans="2:19" ht="15" thickBot="1" x14ac:dyDescent="0.4"/>
    <row r="3" spans="2:19" ht="15" thickBot="1" x14ac:dyDescent="0.4">
      <c r="B3" s="37" t="s">
        <v>18</v>
      </c>
      <c r="C3" s="38"/>
      <c r="D3" s="39" t="s">
        <v>64</v>
      </c>
      <c r="E3" s="38"/>
      <c r="F3" s="38"/>
      <c r="G3" s="38"/>
      <c r="H3" s="38"/>
      <c r="I3" s="38"/>
      <c r="J3" s="38"/>
      <c r="K3" s="38"/>
      <c r="L3" s="38"/>
      <c r="M3" s="40" t="s">
        <v>65</v>
      </c>
      <c r="N3" s="38"/>
      <c r="O3" s="38"/>
      <c r="P3" s="38"/>
      <c r="Q3" s="39" t="s">
        <v>66</v>
      </c>
      <c r="R3" s="38"/>
      <c r="S3" s="41"/>
    </row>
    <row r="4" spans="2:19" ht="15" thickBot="1" x14ac:dyDescent="0.4">
      <c r="D4" s="6" t="s">
        <v>0</v>
      </c>
      <c r="E4" s="6" t="s">
        <v>1</v>
      </c>
      <c r="F4" s="36" t="s">
        <v>2</v>
      </c>
      <c r="I4"/>
      <c r="M4" s="6" t="s">
        <v>9</v>
      </c>
      <c r="N4" s="6" t="s">
        <v>1</v>
      </c>
      <c r="O4" s="36" t="s">
        <v>10</v>
      </c>
      <c r="Q4" s="6" t="s">
        <v>13</v>
      </c>
      <c r="R4" s="6" t="s">
        <v>1</v>
      </c>
      <c r="S4" s="36" t="s">
        <v>14</v>
      </c>
    </row>
    <row r="5" spans="2:19" ht="15" thickBot="1" x14ac:dyDescent="0.4">
      <c r="E5" s="6" t="s">
        <v>1</v>
      </c>
      <c r="F5" s="31" t="s">
        <v>3</v>
      </c>
      <c r="G5" s="33" t="s">
        <v>61</v>
      </c>
      <c r="I5"/>
      <c r="M5" s="6"/>
      <c r="N5" s="6" t="s">
        <v>6</v>
      </c>
      <c r="O5" s="4" t="s">
        <v>11</v>
      </c>
      <c r="Q5" s="2"/>
      <c r="R5" s="6" t="s">
        <v>1</v>
      </c>
      <c r="S5" s="4" t="s">
        <v>15</v>
      </c>
    </row>
    <row r="6" spans="2:19" x14ac:dyDescent="0.35">
      <c r="D6" s="1"/>
      <c r="E6" s="6" t="s">
        <v>4</v>
      </c>
      <c r="F6" s="5" t="s">
        <v>5</v>
      </c>
      <c r="I6"/>
      <c r="M6" s="6"/>
      <c r="N6" s="6" t="s">
        <v>4</v>
      </c>
      <c r="O6" s="5" t="s">
        <v>5</v>
      </c>
      <c r="Q6" s="2"/>
      <c r="R6" s="6" t="s">
        <v>4</v>
      </c>
      <c r="S6" s="5" t="s">
        <v>16</v>
      </c>
    </row>
    <row r="7" spans="2:19" x14ac:dyDescent="0.35">
      <c r="D7" s="1"/>
      <c r="E7" s="6" t="s">
        <v>6</v>
      </c>
      <c r="F7" s="4" t="s">
        <v>7</v>
      </c>
      <c r="I7"/>
      <c r="M7" s="6"/>
      <c r="N7" s="6"/>
      <c r="O7" s="7"/>
      <c r="Q7" s="2"/>
      <c r="R7" s="6" t="s">
        <v>6</v>
      </c>
      <c r="S7" s="8" t="s">
        <v>17</v>
      </c>
    </row>
    <row r="8" spans="2:19" x14ac:dyDescent="0.35">
      <c r="D8" s="1"/>
      <c r="E8" s="6" t="s">
        <v>4</v>
      </c>
      <c r="F8" s="3" t="s">
        <v>8</v>
      </c>
      <c r="I8"/>
      <c r="M8" s="6"/>
      <c r="N8" s="6" t="s">
        <v>1</v>
      </c>
      <c r="O8" s="3" t="s">
        <v>12</v>
      </c>
      <c r="Q8" s="2"/>
      <c r="R8" s="6" t="s">
        <v>4</v>
      </c>
      <c r="S8" s="3" t="s">
        <v>12</v>
      </c>
    </row>
    <row r="9" spans="2:19" x14ac:dyDescent="0.35">
      <c r="I9"/>
      <c r="M9" s="2"/>
    </row>
    <row r="11" spans="2:19" ht="15" thickBot="1" x14ac:dyDescent="0.4"/>
    <row r="12" spans="2:19" ht="15" thickBot="1" x14ac:dyDescent="0.4">
      <c r="B12" s="37" t="s">
        <v>79</v>
      </c>
      <c r="C12" s="38"/>
      <c r="D12" s="38"/>
      <c r="E12" s="38"/>
      <c r="F12" s="38"/>
      <c r="G12" s="38"/>
      <c r="H12" s="38"/>
      <c r="I12" s="44"/>
      <c r="J12" s="38"/>
      <c r="K12" s="38"/>
      <c r="L12" s="38"/>
      <c r="M12" s="38"/>
      <c r="N12" s="38"/>
      <c r="O12" s="38"/>
      <c r="P12" s="38"/>
      <c r="Q12" s="39" t="s">
        <v>81</v>
      </c>
      <c r="R12" s="38"/>
      <c r="S12" s="42" t="s">
        <v>69</v>
      </c>
    </row>
    <row r="13" spans="2:19" x14ac:dyDescent="0.35">
      <c r="Q13" s="34" t="s">
        <v>81</v>
      </c>
      <c r="R13" s="43"/>
      <c r="S13" s="34" t="s">
        <v>79</v>
      </c>
    </row>
    <row r="14" spans="2:19" x14ac:dyDescent="0.35">
      <c r="Q14" s="1" t="s">
        <v>82</v>
      </c>
      <c r="R14" s="6" t="s">
        <v>1</v>
      </c>
      <c r="S14" s="8" t="s">
        <v>80</v>
      </c>
    </row>
    <row r="16" spans="2:19" ht="15" thickBot="1" x14ac:dyDescent="0.4"/>
    <row r="17" spans="2:22" ht="15" thickBot="1" x14ac:dyDescent="0.4">
      <c r="B17" s="37" t="s">
        <v>50</v>
      </c>
      <c r="C17" s="39" t="s">
        <v>67</v>
      </c>
      <c r="D17" s="38"/>
      <c r="E17" s="38"/>
      <c r="F17" s="38"/>
      <c r="G17" s="38"/>
      <c r="H17" s="39"/>
      <c r="I17" s="44"/>
      <c r="J17" s="38"/>
      <c r="K17" s="39" t="s">
        <v>68</v>
      </c>
      <c r="L17" s="38"/>
      <c r="M17" s="38"/>
      <c r="N17" s="38"/>
      <c r="O17" s="38"/>
      <c r="P17" s="38"/>
      <c r="Q17" s="39" t="s">
        <v>83</v>
      </c>
      <c r="R17" s="38"/>
      <c r="S17" s="38"/>
      <c r="T17" s="38"/>
      <c r="U17" s="39" t="s">
        <v>67</v>
      </c>
      <c r="V17" s="41"/>
    </row>
    <row r="18" spans="2:22" x14ac:dyDescent="0.35">
      <c r="F18" s="16" t="s">
        <v>40</v>
      </c>
      <c r="G18" s="16"/>
      <c r="H18" s="24"/>
      <c r="P18" s="24"/>
      <c r="U18" s="9" t="s">
        <v>25</v>
      </c>
      <c r="V18" s="9"/>
    </row>
    <row r="19" spans="2:22" ht="15" thickBot="1" x14ac:dyDescent="0.4">
      <c r="C19" s="9" t="s">
        <v>25</v>
      </c>
      <c r="D19" s="9"/>
      <c r="F19" s="17" t="s">
        <v>26</v>
      </c>
      <c r="G19" s="17"/>
      <c r="H19" s="24"/>
      <c r="P19" s="24"/>
      <c r="U19" s="32" t="s">
        <v>77</v>
      </c>
      <c r="V19" s="10"/>
    </row>
    <row r="20" spans="2:22" ht="15" thickBot="1" x14ac:dyDescent="0.4">
      <c r="C20" s="10" t="s">
        <v>26</v>
      </c>
      <c r="D20" s="10"/>
      <c r="F20" s="11" t="s">
        <v>27</v>
      </c>
      <c r="H20" s="24"/>
      <c r="P20" s="24"/>
      <c r="U20" s="11" t="s">
        <v>27</v>
      </c>
    </row>
    <row r="21" spans="2:22" x14ac:dyDescent="0.35">
      <c r="C21" s="11" t="s">
        <v>27</v>
      </c>
      <c r="F21" s="12" t="s">
        <v>28</v>
      </c>
      <c r="H21" s="24"/>
      <c r="P21" s="24"/>
      <c r="U21" s="12" t="s">
        <v>28</v>
      </c>
    </row>
    <row r="22" spans="2:22" x14ac:dyDescent="0.35">
      <c r="C22" s="12" t="s">
        <v>28</v>
      </c>
      <c r="F22" s="12" t="s">
        <v>29</v>
      </c>
      <c r="H22" s="24"/>
      <c r="P22" s="24"/>
      <c r="U22" s="12" t="s">
        <v>29</v>
      </c>
    </row>
    <row r="23" spans="2:22" x14ac:dyDescent="0.35">
      <c r="C23" s="12" t="s">
        <v>29</v>
      </c>
      <c r="F23" s="12" t="s">
        <v>30</v>
      </c>
      <c r="H23" s="24"/>
      <c r="P23" s="24"/>
      <c r="U23" s="12" t="s">
        <v>30</v>
      </c>
    </row>
    <row r="24" spans="2:22" ht="15" thickBot="1" x14ac:dyDescent="0.4">
      <c r="C24" s="12" t="s">
        <v>30</v>
      </c>
      <c r="F24" s="12" t="s">
        <v>31</v>
      </c>
      <c r="H24" s="24"/>
      <c r="P24" s="24"/>
      <c r="U24" s="12" t="s">
        <v>31</v>
      </c>
    </row>
    <row r="25" spans="2:22" ht="15" thickBot="1" x14ac:dyDescent="0.4">
      <c r="C25" s="12" t="s">
        <v>31</v>
      </c>
      <c r="F25" s="12" t="s">
        <v>32</v>
      </c>
      <c r="H25" s="24"/>
      <c r="K25" s="6" t="s">
        <v>68</v>
      </c>
      <c r="P25" s="24"/>
      <c r="S25" s="35" t="s">
        <v>69</v>
      </c>
      <c r="U25" s="12" t="s">
        <v>32</v>
      </c>
    </row>
    <row r="26" spans="2:22" x14ac:dyDescent="0.35">
      <c r="C26" s="12" t="s">
        <v>32</v>
      </c>
      <c r="F26" s="12" t="s">
        <v>33</v>
      </c>
      <c r="H26" s="24"/>
      <c r="J26" s="6" t="s">
        <v>1</v>
      </c>
      <c r="K26" s="3" t="s">
        <v>10</v>
      </c>
      <c r="P26" s="24"/>
      <c r="Q26" s="26" t="s">
        <v>19</v>
      </c>
      <c r="R26" s="27"/>
      <c r="S26" s="34" t="s">
        <v>63</v>
      </c>
      <c r="U26" s="12" t="s">
        <v>33</v>
      </c>
    </row>
    <row r="27" spans="2:22" x14ac:dyDescent="0.35">
      <c r="C27" s="12" t="s">
        <v>33</v>
      </c>
      <c r="F27" s="12" t="s">
        <v>34</v>
      </c>
      <c r="H27" s="24"/>
      <c r="I27" s="6"/>
      <c r="J27" s="6" t="s">
        <v>1</v>
      </c>
      <c r="K27" s="4" t="s">
        <v>20</v>
      </c>
      <c r="P27" s="24"/>
      <c r="Q27" s="1" t="s">
        <v>51</v>
      </c>
      <c r="R27" s="6" t="s">
        <v>1</v>
      </c>
      <c r="S27" s="8" t="s">
        <v>52</v>
      </c>
      <c r="U27" s="12" t="s">
        <v>34</v>
      </c>
    </row>
    <row r="28" spans="2:22" x14ac:dyDescent="0.35">
      <c r="C28" s="12" t="s">
        <v>34</v>
      </c>
      <c r="F28" s="12" t="s">
        <v>35</v>
      </c>
      <c r="H28" s="24"/>
      <c r="I28" s="6"/>
      <c r="J28" s="6" t="s">
        <v>1</v>
      </c>
      <c r="K28" s="5" t="s">
        <v>21</v>
      </c>
      <c r="P28" s="24"/>
      <c r="Q28" s="28" t="s">
        <v>53</v>
      </c>
      <c r="R28" s="6" t="s">
        <v>1</v>
      </c>
      <c r="S28" s="29" t="s">
        <v>54</v>
      </c>
      <c r="U28" s="12" t="s">
        <v>35</v>
      </c>
    </row>
    <row r="29" spans="2:22" x14ac:dyDescent="0.35">
      <c r="C29" s="12" t="s">
        <v>35</v>
      </c>
      <c r="F29" s="12" t="s">
        <v>36</v>
      </c>
      <c r="H29" s="24"/>
      <c r="I29" s="6"/>
      <c r="J29" s="6" t="s">
        <v>4</v>
      </c>
      <c r="K29" s="5" t="s">
        <v>22</v>
      </c>
      <c r="P29" s="24"/>
      <c r="Q29" s="28" t="s">
        <v>55</v>
      </c>
      <c r="R29" s="6" t="s">
        <v>1</v>
      </c>
      <c r="S29" s="4" t="s">
        <v>56</v>
      </c>
      <c r="U29" s="12" t="s">
        <v>36</v>
      </c>
    </row>
    <row r="30" spans="2:22" x14ac:dyDescent="0.35">
      <c r="C30" s="12" t="s">
        <v>36</v>
      </c>
      <c r="F30" s="14" t="s">
        <v>37</v>
      </c>
      <c r="G30" s="13"/>
      <c r="H30" s="24"/>
      <c r="I30" s="6"/>
      <c r="J30" s="6" t="s">
        <v>6</v>
      </c>
      <c r="K30" s="3" t="s">
        <v>12</v>
      </c>
      <c r="P30" s="24"/>
      <c r="Q30" s="28" t="s">
        <v>57</v>
      </c>
      <c r="R30" s="6" t="s">
        <v>1</v>
      </c>
      <c r="S30" s="29" t="s">
        <v>58</v>
      </c>
      <c r="U30" s="14" t="s">
        <v>37</v>
      </c>
      <c r="V30" s="13"/>
    </row>
    <row r="31" spans="2:22" x14ac:dyDescent="0.35">
      <c r="C31" s="14" t="s">
        <v>37</v>
      </c>
      <c r="D31" s="13"/>
      <c r="F31" s="18" t="s">
        <v>41</v>
      </c>
      <c r="G31" s="9"/>
      <c r="H31" s="24"/>
      <c r="I31" s="6"/>
      <c r="J31" s="6" t="s">
        <v>6</v>
      </c>
      <c r="K31" s="4" t="s">
        <v>15</v>
      </c>
      <c r="P31" s="24"/>
      <c r="Q31" s="28" t="s">
        <v>59</v>
      </c>
      <c r="R31" s="6" t="s">
        <v>1</v>
      </c>
      <c r="S31" s="30" t="s">
        <v>60</v>
      </c>
      <c r="U31" s="12"/>
      <c r="V31" s="9" t="s">
        <v>38</v>
      </c>
    </row>
    <row r="32" spans="2:22" x14ac:dyDescent="0.35">
      <c r="C32" s="12"/>
      <c r="D32" s="9" t="s">
        <v>38</v>
      </c>
      <c r="F32" s="18" t="s">
        <v>42</v>
      </c>
      <c r="G32" s="9" t="s">
        <v>48</v>
      </c>
      <c r="H32" s="24"/>
      <c r="I32" s="6"/>
      <c r="J32" s="6" t="s">
        <v>6</v>
      </c>
      <c r="K32" s="5" t="s">
        <v>23</v>
      </c>
      <c r="P32" s="24"/>
      <c r="U32" s="14"/>
      <c r="V32" s="15" t="s">
        <v>39</v>
      </c>
    </row>
    <row r="33" spans="2:22" x14ac:dyDescent="0.35">
      <c r="C33" s="14"/>
      <c r="D33" s="15" t="s">
        <v>39</v>
      </c>
      <c r="F33" s="18" t="s">
        <v>43</v>
      </c>
      <c r="G33" s="9" t="s">
        <v>49</v>
      </c>
      <c r="H33" s="24"/>
      <c r="I33" s="6"/>
      <c r="J33" s="6" t="s">
        <v>6</v>
      </c>
      <c r="K33" s="5" t="s">
        <v>24</v>
      </c>
      <c r="P33" s="24"/>
      <c r="U33" s="20">
        <v>1000</v>
      </c>
      <c r="V33" s="21">
        <v>1000</v>
      </c>
    </row>
    <row r="34" spans="2:22" x14ac:dyDescent="0.35">
      <c r="C34" s="20">
        <v>1000</v>
      </c>
      <c r="D34" s="21">
        <v>1000</v>
      </c>
      <c r="F34" s="19" t="s">
        <v>44</v>
      </c>
      <c r="G34" s="15"/>
      <c r="H34" s="24"/>
      <c r="K34" s="1" t="s">
        <v>62</v>
      </c>
      <c r="P34" s="24"/>
    </row>
    <row r="35" spans="2:22" x14ac:dyDescent="0.35">
      <c r="F35" s="20">
        <v>450</v>
      </c>
      <c r="G35" s="21">
        <v>450</v>
      </c>
      <c r="H35" s="24"/>
      <c r="P35" s="24"/>
    </row>
    <row r="36" spans="2:22" x14ac:dyDescent="0.35">
      <c r="F36" s="12"/>
      <c r="G36" s="1" t="s">
        <v>45</v>
      </c>
      <c r="H36" s="24"/>
      <c r="P36" s="24"/>
    </row>
    <row r="37" spans="2:22" ht="15" thickBot="1" x14ac:dyDescent="0.4">
      <c r="H37" s="24"/>
      <c r="P37" s="24"/>
    </row>
    <row r="38" spans="2:22" ht="15" thickBot="1" x14ac:dyDescent="0.4">
      <c r="B38" s="37" t="s">
        <v>70</v>
      </c>
      <c r="C38" s="39"/>
      <c r="D38" s="38"/>
      <c r="E38" s="38"/>
      <c r="F38" s="38"/>
      <c r="G38" s="38"/>
      <c r="H38" s="39"/>
      <c r="I38" s="44"/>
      <c r="J38" s="38"/>
      <c r="K38" s="39"/>
      <c r="L38" s="38"/>
      <c r="M38" s="38"/>
      <c r="N38" s="38"/>
      <c r="O38" s="38"/>
      <c r="P38" s="38"/>
      <c r="Q38" s="39" t="s">
        <v>72</v>
      </c>
      <c r="R38" s="38"/>
      <c r="S38" s="38" t="s">
        <v>70</v>
      </c>
      <c r="T38" s="38"/>
      <c r="U38" s="39"/>
      <c r="V38" s="41"/>
    </row>
    <row r="39" spans="2:22" x14ac:dyDescent="0.35">
      <c r="Q39" s="1" t="s">
        <v>73</v>
      </c>
      <c r="R39" s="6" t="s">
        <v>1</v>
      </c>
      <c r="S39" s="45" t="s">
        <v>71</v>
      </c>
    </row>
    <row r="43" spans="2:22" ht="15" thickBot="1" x14ac:dyDescent="0.4">
      <c r="U43" s="1" t="s">
        <v>67</v>
      </c>
    </row>
    <row r="44" spans="2:22" ht="15" thickBot="1" x14ac:dyDescent="0.4">
      <c r="B44" s="37" t="s">
        <v>74</v>
      </c>
      <c r="C44" s="39"/>
      <c r="D44" s="38"/>
      <c r="E44" s="38"/>
      <c r="F44" s="38"/>
      <c r="G44" s="38"/>
      <c r="H44" s="39"/>
      <c r="I44" s="44"/>
      <c r="J44" s="38"/>
      <c r="K44" s="39"/>
      <c r="L44" s="38"/>
      <c r="M44" s="38"/>
      <c r="N44" s="38"/>
      <c r="O44" s="38"/>
      <c r="P44" s="38"/>
      <c r="Q44" s="39" t="s">
        <v>75</v>
      </c>
      <c r="R44" s="38"/>
      <c r="S44" s="38" t="s">
        <v>74</v>
      </c>
      <c r="T44" s="38"/>
      <c r="U44" s="39" t="s">
        <v>25</v>
      </c>
      <c r="V44" s="41"/>
    </row>
    <row r="45" spans="2:22" ht="15" thickBot="1" x14ac:dyDescent="0.4">
      <c r="Q45" s="1" t="s">
        <v>76</v>
      </c>
      <c r="R45" s="6" t="s">
        <v>1</v>
      </c>
      <c r="S45" s="45" t="s">
        <v>71</v>
      </c>
      <c r="U45" s="32" t="s">
        <v>78</v>
      </c>
      <c r="V45" s="10"/>
    </row>
    <row r="46" spans="2:22" x14ac:dyDescent="0.35">
      <c r="F46" s="22" t="s">
        <v>46</v>
      </c>
      <c r="G46" s="22"/>
      <c r="U46" s="11" t="s">
        <v>27</v>
      </c>
    </row>
    <row r="47" spans="2:22" ht="15" thickBot="1" x14ac:dyDescent="0.4">
      <c r="F47" s="23" t="s">
        <v>26</v>
      </c>
      <c r="G47" s="23"/>
      <c r="U47" s="12" t="s">
        <v>28</v>
      </c>
    </row>
    <row r="48" spans="2:22" x14ac:dyDescent="0.35">
      <c r="F48" s="11" t="s">
        <v>27</v>
      </c>
      <c r="U48" s="12" t="s">
        <v>29</v>
      </c>
    </row>
    <row r="49" spans="6:22" x14ac:dyDescent="0.35">
      <c r="F49" s="12" t="s">
        <v>28</v>
      </c>
      <c r="I49" s="6"/>
      <c r="J49" s="6"/>
      <c r="U49" s="12" t="s">
        <v>30</v>
      </c>
    </row>
    <row r="50" spans="6:22" x14ac:dyDescent="0.35">
      <c r="F50" s="12" t="s">
        <v>29</v>
      </c>
      <c r="I50" s="6"/>
      <c r="J50" s="6"/>
      <c r="U50" s="12" t="s">
        <v>31</v>
      </c>
    </row>
    <row r="51" spans="6:22" x14ac:dyDescent="0.35">
      <c r="F51" s="12" t="s">
        <v>30</v>
      </c>
      <c r="I51" s="6"/>
      <c r="J51" s="6"/>
      <c r="U51" s="12" t="s">
        <v>32</v>
      </c>
    </row>
    <row r="52" spans="6:22" x14ac:dyDescent="0.35">
      <c r="F52" s="12" t="s">
        <v>31</v>
      </c>
      <c r="I52" s="6"/>
      <c r="J52" s="6"/>
      <c r="U52" s="12" t="s">
        <v>33</v>
      </c>
    </row>
    <row r="53" spans="6:22" x14ac:dyDescent="0.35">
      <c r="F53" s="12" t="s">
        <v>32</v>
      </c>
      <c r="I53" s="6"/>
      <c r="J53" s="6"/>
      <c r="U53" s="12" t="s">
        <v>34</v>
      </c>
    </row>
    <row r="54" spans="6:22" x14ac:dyDescent="0.35">
      <c r="F54" s="12" t="s">
        <v>33</v>
      </c>
      <c r="I54" s="6"/>
      <c r="J54" s="6"/>
      <c r="U54" s="12" t="s">
        <v>35</v>
      </c>
    </row>
    <row r="55" spans="6:22" x14ac:dyDescent="0.35">
      <c r="F55" s="12" t="s">
        <v>34</v>
      </c>
      <c r="I55" s="6"/>
      <c r="J55" s="6"/>
      <c r="U55" s="12" t="s">
        <v>36</v>
      </c>
    </row>
    <row r="56" spans="6:22" x14ac:dyDescent="0.35">
      <c r="F56" s="12" t="s">
        <v>35</v>
      </c>
      <c r="I56" s="6"/>
      <c r="J56" s="6"/>
      <c r="U56" s="14" t="s">
        <v>37</v>
      </c>
      <c r="V56" s="13"/>
    </row>
    <row r="57" spans="6:22" x14ac:dyDescent="0.35">
      <c r="F57" s="12" t="s">
        <v>36</v>
      </c>
      <c r="U57" s="12"/>
      <c r="V57" s="9" t="s">
        <v>38</v>
      </c>
    </row>
    <row r="58" spans="6:22" x14ac:dyDescent="0.35">
      <c r="F58" s="14" t="s">
        <v>37</v>
      </c>
      <c r="G58" s="13"/>
      <c r="U58" s="14"/>
      <c r="V58" s="15" t="s">
        <v>39</v>
      </c>
    </row>
    <row r="59" spans="6:22" x14ac:dyDescent="0.35">
      <c r="F59" s="18" t="s">
        <v>41</v>
      </c>
      <c r="G59" s="9"/>
      <c r="U59" s="20">
        <v>1000</v>
      </c>
      <c r="V59" s="21">
        <v>1000</v>
      </c>
    </row>
    <row r="60" spans="6:22" x14ac:dyDescent="0.35">
      <c r="F60" s="18" t="s">
        <v>42</v>
      </c>
      <c r="G60" s="9" t="s">
        <v>48</v>
      </c>
    </row>
    <row r="61" spans="6:22" x14ac:dyDescent="0.35">
      <c r="F61" s="18" t="s">
        <v>43</v>
      </c>
      <c r="G61" s="9" t="s">
        <v>49</v>
      </c>
    </row>
    <row r="62" spans="6:22" x14ac:dyDescent="0.35">
      <c r="F62" s="19" t="s">
        <v>44</v>
      </c>
      <c r="G62" s="15"/>
    </row>
    <row r="63" spans="6:22" x14ac:dyDescent="0.35">
      <c r="F63" s="20">
        <v>350</v>
      </c>
      <c r="G63" s="21">
        <v>350</v>
      </c>
    </row>
    <row r="64" spans="6:22" x14ac:dyDescent="0.35">
      <c r="F64" s="12"/>
      <c r="G64" s="1" t="s">
        <v>45</v>
      </c>
    </row>
    <row r="67" spans="6:10" x14ac:dyDescent="0.35">
      <c r="F67" s="24" t="s">
        <v>47</v>
      </c>
      <c r="G67" s="24"/>
    </row>
    <row r="68" spans="6:10" ht="15" thickBot="1" x14ac:dyDescent="0.4">
      <c r="F68" s="25" t="s">
        <v>26</v>
      </c>
      <c r="G68" s="25"/>
    </row>
    <row r="69" spans="6:10" x14ac:dyDescent="0.35">
      <c r="F69" s="11" t="s">
        <v>27</v>
      </c>
    </row>
    <row r="70" spans="6:10" x14ac:dyDescent="0.35">
      <c r="F70" s="12" t="s">
        <v>28</v>
      </c>
      <c r="I70" s="6"/>
      <c r="J70" s="6"/>
    </row>
    <row r="71" spans="6:10" x14ac:dyDescent="0.35">
      <c r="F71" s="12" t="s">
        <v>29</v>
      </c>
      <c r="I71" s="6"/>
      <c r="J71" s="6"/>
    </row>
    <row r="72" spans="6:10" x14ac:dyDescent="0.35">
      <c r="F72" s="12" t="s">
        <v>30</v>
      </c>
      <c r="I72" s="6"/>
      <c r="J72" s="6"/>
    </row>
    <row r="73" spans="6:10" x14ac:dyDescent="0.35">
      <c r="F73" s="12" t="s">
        <v>31</v>
      </c>
      <c r="I73" s="6"/>
      <c r="J73" s="6"/>
    </row>
    <row r="74" spans="6:10" x14ac:dyDescent="0.35">
      <c r="F74" s="12" t="s">
        <v>32</v>
      </c>
      <c r="I74" s="6"/>
      <c r="J74" s="6"/>
    </row>
    <row r="75" spans="6:10" x14ac:dyDescent="0.35">
      <c r="F75" s="12" t="s">
        <v>33</v>
      </c>
      <c r="I75" s="6"/>
      <c r="J75" s="6"/>
    </row>
    <row r="76" spans="6:10" x14ac:dyDescent="0.35">
      <c r="F76" s="12" t="s">
        <v>34</v>
      </c>
      <c r="I76" s="6"/>
      <c r="J76" s="6"/>
    </row>
    <row r="77" spans="6:10" x14ac:dyDescent="0.35">
      <c r="F77" s="12" t="s">
        <v>35</v>
      </c>
      <c r="I77" s="6"/>
      <c r="J77" s="6"/>
    </row>
    <row r="78" spans="6:10" x14ac:dyDescent="0.35">
      <c r="F78" s="12" t="s">
        <v>36</v>
      </c>
    </row>
    <row r="79" spans="6:10" x14ac:dyDescent="0.35">
      <c r="F79" s="14" t="s">
        <v>37</v>
      </c>
      <c r="G79" s="13"/>
    </row>
    <row r="80" spans="6:10" x14ac:dyDescent="0.35">
      <c r="F80" s="18" t="s">
        <v>41</v>
      </c>
      <c r="G80" s="9"/>
    </row>
    <row r="81" spans="6:7" x14ac:dyDescent="0.35">
      <c r="F81" s="18" t="s">
        <v>42</v>
      </c>
      <c r="G81" s="9" t="s">
        <v>48</v>
      </c>
    </row>
    <row r="82" spans="6:7" x14ac:dyDescent="0.35">
      <c r="F82" s="18" t="s">
        <v>43</v>
      </c>
      <c r="G82" s="9" t="s">
        <v>49</v>
      </c>
    </row>
    <row r="83" spans="6:7" x14ac:dyDescent="0.35">
      <c r="F83" s="19" t="s">
        <v>44</v>
      </c>
      <c r="G83" s="15"/>
    </row>
    <row r="84" spans="6:7" x14ac:dyDescent="0.35">
      <c r="F84" s="20">
        <v>200</v>
      </c>
      <c r="G84" s="21">
        <v>200</v>
      </c>
    </row>
    <row r="85" spans="6:7" x14ac:dyDescent="0.35">
      <c r="F85" s="12"/>
      <c r="G85" s="1" t="s">
        <v>45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"/>
  <sheetViews>
    <sheetView zoomScale="70" zoomScaleNormal="70" workbookViewId="0">
      <selection activeCell="A9" sqref="A9:XFD9"/>
    </sheetView>
  </sheetViews>
  <sheetFormatPr baseColWidth="10" defaultRowHeight="14.5" x14ac:dyDescent="0.35"/>
  <cols>
    <col min="1" max="1" width="37.453125" customWidth="1"/>
    <col min="2" max="2" width="13.26953125" customWidth="1"/>
    <col min="3" max="3" width="71.1796875" bestFit="1" customWidth="1"/>
    <col min="5" max="5" width="14.54296875" bestFit="1" customWidth="1"/>
    <col min="6" max="6" width="16.26953125" bestFit="1" customWidth="1"/>
    <col min="7" max="7" width="17.7265625" bestFit="1" customWidth="1"/>
    <col min="8" max="8" width="18.81640625" customWidth="1"/>
    <col min="10" max="10" width="41.7265625" bestFit="1" customWidth="1"/>
  </cols>
  <sheetData>
    <row r="1" spans="1:11" ht="21.5" thickBot="1" x14ac:dyDescent="0.55000000000000004">
      <c r="B1" s="68" t="s">
        <v>136</v>
      </c>
      <c r="C1" s="69"/>
      <c r="D1" s="109"/>
      <c r="E1" s="110"/>
      <c r="F1" s="102"/>
      <c r="G1" s="102"/>
    </row>
    <row r="2" spans="1:11" x14ac:dyDescent="0.35">
      <c r="D2" s="2"/>
      <c r="E2" s="102"/>
      <c r="F2" s="102"/>
      <c r="G2" s="102"/>
    </row>
    <row r="3" spans="1:11" ht="15" thickBot="1" x14ac:dyDescent="0.4">
      <c r="D3" s="2"/>
      <c r="E3" s="102"/>
      <c r="F3" s="102"/>
      <c r="G3" s="102"/>
    </row>
    <row r="4" spans="1:11" ht="15" thickBot="1" x14ac:dyDescent="0.4">
      <c r="A4" s="61" t="s">
        <v>132</v>
      </c>
      <c r="B4" s="106" t="s">
        <v>133</v>
      </c>
      <c r="C4" s="107" t="s">
        <v>134</v>
      </c>
      <c r="D4" s="107" t="s">
        <v>135</v>
      </c>
      <c r="E4" s="108" t="s">
        <v>115</v>
      </c>
      <c r="F4" s="112"/>
      <c r="G4" s="112"/>
      <c r="H4" s="37" t="s">
        <v>84</v>
      </c>
      <c r="I4" s="39"/>
      <c r="J4" s="98"/>
    </row>
    <row r="5" spans="1:11" ht="15" thickBot="1" x14ac:dyDescent="0.4">
      <c r="D5" s="2"/>
      <c r="E5" s="102"/>
      <c r="F5" s="102"/>
      <c r="G5" s="102"/>
    </row>
    <row r="6" spans="1:11" x14ac:dyDescent="0.35">
      <c r="A6" s="71" t="s">
        <v>85</v>
      </c>
      <c r="B6" s="75" t="s">
        <v>86</v>
      </c>
      <c r="C6" s="72" t="s">
        <v>87</v>
      </c>
      <c r="D6" s="73" t="s">
        <v>1</v>
      </c>
      <c r="E6" s="74">
        <v>1000</v>
      </c>
      <c r="F6" s="113"/>
      <c r="G6" s="113"/>
      <c r="H6" s="74">
        <v>-10</v>
      </c>
      <c r="I6" s="75" t="s">
        <v>86</v>
      </c>
      <c r="J6" s="76" t="s">
        <v>88</v>
      </c>
    </row>
    <row r="7" spans="1:11" x14ac:dyDescent="0.35">
      <c r="A7" s="77" t="s">
        <v>0</v>
      </c>
      <c r="B7" s="78" t="s">
        <v>89</v>
      </c>
      <c r="C7" s="46" t="s">
        <v>3</v>
      </c>
      <c r="D7" s="47" t="s">
        <v>1</v>
      </c>
      <c r="E7" s="48">
        <v>24000</v>
      </c>
      <c r="F7" s="113"/>
      <c r="G7" s="113"/>
      <c r="H7" s="48">
        <v>1000</v>
      </c>
      <c r="I7" s="78" t="s">
        <v>89</v>
      </c>
      <c r="J7" s="79" t="s">
        <v>90</v>
      </c>
    </row>
    <row r="8" spans="1:11" x14ac:dyDescent="0.35">
      <c r="A8" s="77"/>
      <c r="B8" s="97" t="s">
        <v>91</v>
      </c>
      <c r="C8" s="49" t="s">
        <v>92</v>
      </c>
      <c r="D8" s="47" t="s">
        <v>1</v>
      </c>
      <c r="E8" s="48">
        <v>4000</v>
      </c>
      <c r="F8" s="113"/>
      <c r="G8" s="113"/>
      <c r="H8" s="1"/>
      <c r="I8" s="6"/>
      <c r="J8" s="80"/>
    </row>
    <row r="9" spans="1:11" hidden="1" x14ac:dyDescent="0.35">
      <c r="A9" s="77"/>
      <c r="B9" s="6"/>
      <c r="C9" s="50" t="s">
        <v>93</v>
      </c>
      <c r="D9" s="179" t="s">
        <v>94</v>
      </c>
      <c r="E9" s="48">
        <v>0</v>
      </c>
      <c r="F9" s="113"/>
      <c r="G9" s="113"/>
      <c r="H9" s="1"/>
      <c r="I9" s="78"/>
      <c r="J9" s="79" t="s">
        <v>95</v>
      </c>
      <c r="K9" s="1" t="s">
        <v>142</v>
      </c>
    </row>
    <row r="10" spans="1:11" x14ac:dyDescent="0.35">
      <c r="A10" s="77"/>
      <c r="B10" s="6"/>
      <c r="C10" s="26" t="s">
        <v>5</v>
      </c>
      <c r="D10" s="47" t="s">
        <v>4</v>
      </c>
      <c r="E10" s="48">
        <f>SUM(E6:E9)</f>
        <v>29000</v>
      </c>
      <c r="F10" s="113"/>
      <c r="G10" s="113"/>
      <c r="H10" s="81"/>
      <c r="I10" s="6"/>
      <c r="J10" s="80"/>
      <c r="K10" s="1"/>
    </row>
    <row r="11" spans="1:11" x14ac:dyDescent="0.35">
      <c r="A11" s="77"/>
      <c r="B11" s="6"/>
      <c r="C11" s="52" t="s">
        <v>138</v>
      </c>
      <c r="D11" s="47" t="s">
        <v>6</v>
      </c>
      <c r="E11" s="48">
        <v>-20000</v>
      </c>
      <c r="F11" s="113"/>
      <c r="G11" s="113"/>
      <c r="H11" s="1"/>
      <c r="I11" s="6"/>
      <c r="J11" s="80"/>
      <c r="K11" s="1"/>
    </row>
    <row r="12" spans="1:11" x14ac:dyDescent="0.35">
      <c r="A12" s="77"/>
      <c r="B12" s="97" t="s">
        <v>91</v>
      </c>
      <c r="C12" s="49" t="s">
        <v>96</v>
      </c>
      <c r="D12" s="47" t="s">
        <v>6</v>
      </c>
      <c r="E12" s="48">
        <v>-2000</v>
      </c>
      <c r="F12" s="113"/>
      <c r="G12" s="113"/>
      <c r="H12" s="1"/>
      <c r="I12" s="6"/>
      <c r="J12" s="80"/>
      <c r="K12" s="1"/>
    </row>
    <row r="13" spans="1:11" ht="15" thickBot="1" x14ac:dyDescent="0.4">
      <c r="A13" s="82"/>
      <c r="B13" s="83"/>
      <c r="C13" s="84" t="s">
        <v>97</v>
      </c>
      <c r="D13" s="180" t="s">
        <v>4</v>
      </c>
      <c r="E13" s="103">
        <f>-E10-E11-E12</f>
        <v>-7000</v>
      </c>
      <c r="F13" s="114"/>
      <c r="G13" s="114"/>
      <c r="H13" s="32"/>
      <c r="I13" s="83"/>
      <c r="J13" s="85"/>
      <c r="K13" s="1"/>
    </row>
    <row r="14" spans="1:11" ht="15" thickBot="1" x14ac:dyDescent="0.4">
      <c r="A14" s="1"/>
      <c r="B14" s="6"/>
      <c r="C14" s="1"/>
      <c r="D14" s="6"/>
      <c r="E14" s="104"/>
      <c r="F14" s="173" t="s">
        <v>207</v>
      </c>
      <c r="G14" s="173" t="s">
        <v>207</v>
      </c>
      <c r="H14" s="173" t="s">
        <v>207</v>
      </c>
      <c r="I14" s="6"/>
      <c r="J14" s="1"/>
      <c r="K14" s="1"/>
    </row>
    <row r="15" spans="1:11" ht="15" thickBot="1" x14ac:dyDescent="0.4">
      <c r="A15" s="71" t="s">
        <v>98</v>
      </c>
      <c r="B15" s="71"/>
      <c r="C15" s="72"/>
      <c r="D15" s="73"/>
      <c r="E15" s="74"/>
      <c r="F15" s="74" t="s">
        <v>205</v>
      </c>
      <c r="G15" s="74" t="s">
        <v>206</v>
      </c>
      <c r="H15" s="74" t="s">
        <v>147</v>
      </c>
      <c r="I15" s="75" t="s">
        <v>86</v>
      </c>
      <c r="J15" s="76" t="s">
        <v>88</v>
      </c>
      <c r="K15" s="1"/>
    </row>
    <row r="16" spans="1:11" ht="15" thickBot="1" x14ac:dyDescent="0.4">
      <c r="A16" s="77"/>
      <c r="B16" s="117" t="s">
        <v>68</v>
      </c>
      <c r="C16" s="72" t="s">
        <v>146</v>
      </c>
      <c r="D16" s="73" t="s">
        <v>1</v>
      </c>
      <c r="E16" s="74">
        <v>100</v>
      </c>
      <c r="F16" s="74">
        <v>80</v>
      </c>
      <c r="G16" s="185">
        <v>20</v>
      </c>
      <c r="H16" s="74">
        <f>SUM(F16:G16)</f>
        <v>100</v>
      </c>
      <c r="I16" s="75" t="s">
        <v>86</v>
      </c>
      <c r="J16" s="76" t="s">
        <v>88</v>
      </c>
      <c r="K16" s="1"/>
    </row>
    <row r="17" spans="1:11" ht="15" thickBot="1" x14ac:dyDescent="0.4">
      <c r="A17" s="77"/>
      <c r="B17" s="117" t="s">
        <v>68</v>
      </c>
      <c r="C17" s="52" t="s">
        <v>137</v>
      </c>
      <c r="D17" s="47" t="s">
        <v>1</v>
      </c>
      <c r="E17" s="48">
        <f>-E11</f>
        <v>20000</v>
      </c>
      <c r="F17" s="113">
        <f>+E17</f>
        <v>20000</v>
      </c>
      <c r="G17" s="113"/>
      <c r="H17" s="1"/>
      <c r="I17" s="6"/>
      <c r="J17" s="80"/>
      <c r="K17" s="1"/>
    </row>
    <row r="18" spans="1:11" ht="15" thickBot="1" x14ac:dyDescent="0.4">
      <c r="A18" s="77"/>
      <c r="B18" s="117" t="s">
        <v>68</v>
      </c>
      <c r="C18" s="50" t="s">
        <v>93</v>
      </c>
      <c r="D18" s="179" t="s">
        <v>94</v>
      </c>
      <c r="E18" s="48">
        <v>0</v>
      </c>
      <c r="F18" s="113"/>
      <c r="G18" s="113"/>
      <c r="H18" s="1"/>
      <c r="I18" s="78"/>
      <c r="J18" s="79" t="s">
        <v>95</v>
      </c>
      <c r="K18" s="1" t="s">
        <v>142</v>
      </c>
    </row>
    <row r="19" spans="1:11" ht="15" thickBot="1" x14ac:dyDescent="0.4">
      <c r="A19" s="77"/>
      <c r="B19" s="117" t="s">
        <v>68</v>
      </c>
      <c r="C19" s="46" t="s">
        <v>144</v>
      </c>
      <c r="D19" s="47" t="s">
        <v>6</v>
      </c>
      <c r="E19" s="48">
        <v>-200</v>
      </c>
      <c r="F19" s="48">
        <v>-160</v>
      </c>
      <c r="G19" s="111">
        <v>-40</v>
      </c>
      <c r="H19" s="172">
        <f>SUM(F19:G19)</f>
        <v>-200</v>
      </c>
      <c r="I19" s="6"/>
      <c r="J19" s="80"/>
      <c r="K19" s="1"/>
    </row>
    <row r="20" spans="1:11" ht="15" thickBot="1" x14ac:dyDescent="0.4">
      <c r="A20" s="77"/>
      <c r="B20" s="6"/>
      <c r="C20" s="26" t="s">
        <v>145</v>
      </c>
      <c r="D20" s="47" t="s">
        <v>4</v>
      </c>
      <c r="E20" s="48">
        <f>SUM(E15:E19)</f>
        <v>19900</v>
      </c>
      <c r="F20" s="48">
        <f t="shared" ref="F20:G20" si="0">SUM(F15:F19)</f>
        <v>19920</v>
      </c>
      <c r="G20" s="111">
        <f t="shared" si="0"/>
        <v>-20</v>
      </c>
      <c r="H20" s="48">
        <f>SUM(F20:G20)</f>
        <v>19900</v>
      </c>
      <c r="I20" s="6"/>
      <c r="J20" s="80"/>
      <c r="K20" s="1"/>
    </row>
    <row r="21" spans="1:11" ht="15" thickBot="1" x14ac:dyDescent="0.4">
      <c r="A21" s="77"/>
      <c r="B21" s="117" t="s">
        <v>67</v>
      </c>
      <c r="C21" s="46" t="s">
        <v>27</v>
      </c>
      <c r="D21" s="47" t="s">
        <v>1</v>
      </c>
      <c r="E21" s="48">
        <v>500</v>
      </c>
      <c r="F21" s="113"/>
      <c r="G21" s="113"/>
      <c r="H21" s="1"/>
      <c r="I21" s="6"/>
      <c r="J21" s="80"/>
      <c r="K21" s="1"/>
    </row>
    <row r="22" spans="1:11" ht="15" thickBot="1" x14ac:dyDescent="0.4">
      <c r="A22" s="77"/>
      <c r="B22" s="117" t="s">
        <v>67</v>
      </c>
      <c r="C22" s="46" t="s">
        <v>28</v>
      </c>
      <c r="D22" s="47" t="s">
        <v>1</v>
      </c>
      <c r="E22" s="48">
        <v>500</v>
      </c>
      <c r="F22" s="113"/>
      <c r="G22" s="113"/>
      <c r="H22" s="1"/>
      <c r="I22" s="6"/>
      <c r="J22" s="80"/>
      <c r="K22" s="1"/>
    </row>
    <row r="23" spans="1:11" ht="15" thickBot="1" x14ac:dyDescent="0.4">
      <c r="A23" s="77"/>
      <c r="B23" s="117" t="s">
        <v>67</v>
      </c>
      <c r="C23" s="46" t="s">
        <v>29</v>
      </c>
      <c r="D23" s="47" t="s">
        <v>1</v>
      </c>
      <c r="E23" s="48">
        <v>500</v>
      </c>
      <c r="F23" s="113"/>
      <c r="G23" s="113"/>
      <c r="H23" s="1"/>
      <c r="I23" s="6"/>
      <c r="J23" s="80"/>
      <c r="K23" s="1"/>
    </row>
    <row r="24" spans="1:11" ht="15" thickBot="1" x14ac:dyDescent="0.4">
      <c r="A24" s="77"/>
      <c r="B24" s="117" t="s">
        <v>67</v>
      </c>
      <c r="C24" s="46" t="s">
        <v>30</v>
      </c>
      <c r="D24" s="47" t="s">
        <v>1</v>
      </c>
      <c r="E24" s="48">
        <v>500</v>
      </c>
      <c r="F24" s="113"/>
      <c r="G24" s="113"/>
      <c r="H24" s="1"/>
      <c r="I24" s="6"/>
      <c r="J24" s="80"/>
      <c r="K24" s="1"/>
    </row>
    <row r="25" spans="1:11" ht="15" thickBot="1" x14ac:dyDescent="0.4">
      <c r="A25" s="77"/>
      <c r="B25" s="117" t="s">
        <v>67</v>
      </c>
      <c r="C25" s="46" t="s">
        <v>31</v>
      </c>
      <c r="D25" s="47" t="s">
        <v>1</v>
      </c>
      <c r="E25" s="48">
        <v>500</v>
      </c>
      <c r="F25" s="113"/>
      <c r="G25" s="113"/>
      <c r="H25" s="1"/>
      <c r="I25" s="6"/>
      <c r="J25" s="80"/>
      <c r="K25" s="1"/>
    </row>
    <row r="26" spans="1:11" ht="15" thickBot="1" x14ac:dyDescent="0.4">
      <c r="A26" s="77"/>
      <c r="B26" s="117" t="s">
        <v>67</v>
      </c>
      <c r="C26" s="46" t="s">
        <v>32</v>
      </c>
      <c r="D26" s="47" t="s">
        <v>1</v>
      </c>
      <c r="E26" s="48">
        <v>500</v>
      </c>
      <c r="F26" s="113"/>
      <c r="G26" s="113"/>
      <c r="H26" s="1"/>
      <c r="I26" s="6"/>
      <c r="J26" s="80"/>
      <c r="K26" s="1"/>
    </row>
    <row r="27" spans="1:11" ht="15" thickBot="1" x14ac:dyDescent="0.4">
      <c r="A27" s="77"/>
      <c r="B27" s="117" t="s">
        <v>67</v>
      </c>
      <c r="C27" s="46" t="s">
        <v>33</v>
      </c>
      <c r="D27" s="47" t="s">
        <v>1</v>
      </c>
      <c r="E27" s="48">
        <v>500</v>
      </c>
      <c r="F27" s="113"/>
      <c r="G27" s="113"/>
      <c r="H27" s="1"/>
      <c r="I27" s="6"/>
      <c r="J27" s="80"/>
      <c r="K27" s="1"/>
    </row>
    <row r="28" spans="1:11" ht="15" thickBot="1" x14ac:dyDescent="0.4">
      <c r="A28" s="77"/>
      <c r="B28" s="117" t="s">
        <v>67</v>
      </c>
      <c r="C28" s="46" t="s">
        <v>34</v>
      </c>
      <c r="D28" s="47" t="s">
        <v>1</v>
      </c>
      <c r="E28" s="48">
        <v>500</v>
      </c>
      <c r="F28" s="113"/>
      <c r="G28" s="113"/>
      <c r="H28" s="1"/>
      <c r="I28" s="6"/>
      <c r="J28" s="80"/>
      <c r="K28" s="1"/>
    </row>
    <row r="29" spans="1:11" ht="15" thickBot="1" x14ac:dyDescent="0.4">
      <c r="A29" s="77"/>
      <c r="B29" s="117" t="s">
        <v>67</v>
      </c>
      <c r="C29" s="46" t="s">
        <v>35</v>
      </c>
      <c r="D29" s="47" t="s">
        <v>1</v>
      </c>
      <c r="E29" s="48">
        <v>500</v>
      </c>
      <c r="F29" s="113"/>
      <c r="G29" s="113"/>
      <c r="H29" s="1"/>
      <c r="I29" s="6"/>
      <c r="J29" s="80"/>
      <c r="K29" s="1"/>
    </row>
    <row r="30" spans="1:11" ht="15" thickBot="1" x14ac:dyDescent="0.4">
      <c r="A30" s="77"/>
      <c r="B30" s="117" t="s">
        <v>67</v>
      </c>
      <c r="C30" s="46" t="s">
        <v>36</v>
      </c>
      <c r="D30" s="47" t="s">
        <v>1</v>
      </c>
      <c r="E30" s="48">
        <v>500</v>
      </c>
      <c r="F30" s="113"/>
      <c r="G30" s="113"/>
      <c r="H30" s="1"/>
      <c r="I30" s="6"/>
      <c r="J30" s="80"/>
      <c r="K30" s="1"/>
    </row>
    <row r="31" spans="1:11" ht="15" thickBot="1" x14ac:dyDescent="0.4">
      <c r="A31" s="77"/>
      <c r="B31" s="117" t="s">
        <v>67</v>
      </c>
      <c r="C31" s="18" t="s">
        <v>41</v>
      </c>
      <c r="D31" s="47" t="s">
        <v>1</v>
      </c>
      <c r="E31" s="48">
        <v>500</v>
      </c>
      <c r="F31" s="113"/>
      <c r="G31" s="113"/>
      <c r="H31" s="1"/>
      <c r="I31" s="6"/>
      <c r="J31" s="80"/>
      <c r="K31" s="1"/>
    </row>
    <row r="32" spans="1:11" ht="15" thickBot="1" x14ac:dyDescent="0.4">
      <c r="A32" s="77"/>
      <c r="B32" s="117" t="s">
        <v>67</v>
      </c>
      <c r="C32" s="18" t="s">
        <v>42</v>
      </c>
      <c r="D32" s="47" t="s">
        <v>1</v>
      </c>
      <c r="E32" s="48">
        <v>500</v>
      </c>
      <c r="F32" s="113"/>
      <c r="G32" s="113"/>
      <c r="H32" s="1"/>
      <c r="I32" s="6"/>
      <c r="J32" s="80"/>
      <c r="K32" s="1"/>
    </row>
    <row r="33" spans="1:11" ht="15" thickBot="1" x14ac:dyDescent="0.4">
      <c r="A33" s="77"/>
      <c r="B33" s="117" t="s">
        <v>67</v>
      </c>
      <c r="C33" s="18" t="s">
        <v>43</v>
      </c>
      <c r="D33" s="47" t="s">
        <v>1</v>
      </c>
      <c r="E33" s="48">
        <v>500</v>
      </c>
      <c r="F33" s="113"/>
      <c r="G33" s="113"/>
      <c r="H33" s="1"/>
      <c r="I33" s="6"/>
      <c r="J33" s="80"/>
      <c r="K33" s="1"/>
    </row>
    <row r="34" spans="1:11" ht="15" thickBot="1" x14ac:dyDescent="0.4">
      <c r="A34" s="77"/>
      <c r="B34" s="117" t="s">
        <v>67</v>
      </c>
      <c r="C34" s="19" t="s">
        <v>44</v>
      </c>
      <c r="D34" s="47" t="s">
        <v>1</v>
      </c>
      <c r="E34" s="48">
        <v>500</v>
      </c>
      <c r="F34" s="113"/>
      <c r="G34" s="113"/>
      <c r="H34" s="1"/>
      <c r="I34" s="6"/>
      <c r="J34" s="80"/>
      <c r="K34" s="1"/>
    </row>
    <row r="35" spans="1:11" ht="15" thickBot="1" x14ac:dyDescent="0.4">
      <c r="A35" s="77"/>
      <c r="B35" s="117" t="s">
        <v>67</v>
      </c>
      <c r="C35" s="46" t="s">
        <v>37</v>
      </c>
      <c r="D35" s="47" t="s">
        <v>1</v>
      </c>
      <c r="E35" s="48">
        <v>500</v>
      </c>
      <c r="F35" s="113"/>
      <c r="G35" s="113"/>
      <c r="H35" s="1"/>
      <c r="I35" s="6"/>
      <c r="J35" s="80"/>
      <c r="K35" s="1"/>
    </row>
    <row r="36" spans="1:11" ht="15" thickBot="1" x14ac:dyDescent="0.4">
      <c r="A36" s="77"/>
      <c r="B36" s="117" t="s">
        <v>67</v>
      </c>
      <c r="C36" s="115" t="s">
        <v>143</v>
      </c>
      <c r="D36" s="181" t="s">
        <v>6</v>
      </c>
      <c r="E36" s="183">
        <f>-SUM(E21:E35)</f>
        <v>-7500</v>
      </c>
      <c r="F36" s="113"/>
      <c r="G36" s="113"/>
      <c r="H36" s="1"/>
      <c r="I36" s="6"/>
      <c r="J36" s="80"/>
      <c r="K36" s="1"/>
    </row>
    <row r="37" spans="1:11" ht="15" thickBot="1" x14ac:dyDescent="0.4">
      <c r="A37" s="77"/>
      <c r="B37" s="118" t="s">
        <v>68</v>
      </c>
      <c r="C37" s="119" t="s">
        <v>99</v>
      </c>
      <c r="D37" s="181" t="s">
        <v>1</v>
      </c>
      <c r="E37" s="105"/>
      <c r="F37" s="105"/>
      <c r="G37" s="105">
        <f>SUM(E21:E35)</f>
        <v>7500</v>
      </c>
      <c r="H37" s="174">
        <f>SUM(F37:G37)</f>
        <v>7500</v>
      </c>
      <c r="I37" s="6"/>
      <c r="J37" s="80"/>
      <c r="K37" s="1"/>
    </row>
    <row r="38" spans="1:11" ht="15" thickBot="1" x14ac:dyDescent="0.4">
      <c r="A38" s="121"/>
      <c r="B38" s="122"/>
      <c r="C38" s="123" t="s">
        <v>148</v>
      </c>
      <c r="D38" s="107"/>
      <c r="E38" s="184"/>
      <c r="F38" s="175">
        <f>SUM(F20:F37)</f>
        <v>19920</v>
      </c>
      <c r="G38" s="175">
        <f t="shared" ref="G38" si="1">SUM(G20:G37)</f>
        <v>7480</v>
      </c>
      <c r="H38" s="175">
        <f>SUM(F38:G38)</f>
        <v>27400</v>
      </c>
      <c r="I38" s="6"/>
      <c r="J38" s="80"/>
      <c r="K38" s="1"/>
    </row>
    <row r="39" spans="1:11" x14ac:dyDescent="0.35">
      <c r="F39" s="48" t="s">
        <v>208</v>
      </c>
      <c r="G39" s="48"/>
      <c r="H39" s="46"/>
    </row>
    <row r="40" spans="1:11" x14ac:dyDescent="0.35">
      <c r="A40" s="77" t="s">
        <v>149</v>
      </c>
      <c r="B40" s="178" t="s">
        <v>68</v>
      </c>
      <c r="C40" s="52" t="s">
        <v>139</v>
      </c>
      <c r="D40" s="47" t="s">
        <v>6</v>
      </c>
      <c r="E40" s="48"/>
      <c r="F40" s="111">
        <f>+F38-F41</f>
        <v>21420</v>
      </c>
      <c r="G40" s="111">
        <f>+G38-G42</f>
        <v>6980</v>
      </c>
      <c r="H40" s="111">
        <f t="shared" ref="H40:H42" si="2">SUM(F40:G40)</f>
        <v>28400</v>
      </c>
      <c r="I40" s="6"/>
      <c r="J40" s="80"/>
      <c r="K40" s="1"/>
    </row>
    <row r="41" spans="1:11" ht="15" thickBot="1" x14ac:dyDescent="0.4">
      <c r="A41" s="77" t="s">
        <v>149</v>
      </c>
      <c r="B41" s="120" t="s">
        <v>68</v>
      </c>
      <c r="C41" s="176" t="s">
        <v>100</v>
      </c>
      <c r="D41" s="182" t="s">
        <v>6</v>
      </c>
      <c r="E41" s="171"/>
      <c r="F41" s="177">
        <v>-1500</v>
      </c>
      <c r="G41" s="177"/>
      <c r="H41" s="177">
        <f t="shared" si="2"/>
        <v>-1500</v>
      </c>
      <c r="I41" s="78" t="s">
        <v>101</v>
      </c>
      <c r="J41" s="79" t="s">
        <v>102</v>
      </c>
      <c r="K41" s="1"/>
    </row>
    <row r="42" spans="1:11" ht="15" thickBot="1" x14ac:dyDescent="0.4">
      <c r="A42" s="77" t="s">
        <v>149</v>
      </c>
      <c r="B42" s="117" t="s">
        <v>68</v>
      </c>
      <c r="C42" s="54" t="s">
        <v>103</v>
      </c>
      <c r="D42" s="47" t="s">
        <v>6</v>
      </c>
      <c r="E42" s="48"/>
      <c r="F42" s="116"/>
      <c r="G42" s="116">
        <v>500</v>
      </c>
      <c r="H42" s="116">
        <f t="shared" si="2"/>
        <v>500</v>
      </c>
      <c r="I42" s="78" t="s">
        <v>104</v>
      </c>
      <c r="J42" s="79" t="s">
        <v>105</v>
      </c>
      <c r="K42" s="1"/>
    </row>
    <row r="44" spans="1:11" ht="15" thickBot="1" x14ac:dyDescent="0.4"/>
    <row r="45" spans="1:11" x14ac:dyDescent="0.35">
      <c r="A45" s="71" t="s">
        <v>106</v>
      </c>
      <c r="B45" s="75" t="s">
        <v>86</v>
      </c>
      <c r="C45" s="72" t="s">
        <v>107</v>
      </c>
      <c r="D45" s="73" t="s">
        <v>1</v>
      </c>
      <c r="E45" s="186">
        <v>100</v>
      </c>
      <c r="F45" s="188"/>
      <c r="G45" s="188"/>
      <c r="H45" s="74">
        <v>-10</v>
      </c>
      <c r="I45" s="75" t="s">
        <v>86</v>
      </c>
      <c r="J45" s="76" t="s">
        <v>88</v>
      </c>
      <c r="K45" s="1"/>
    </row>
    <row r="46" spans="1:11" x14ac:dyDescent="0.35">
      <c r="A46" s="77" t="s">
        <v>13</v>
      </c>
      <c r="B46" s="6"/>
      <c r="C46" s="52" t="s">
        <v>108</v>
      </c>
      <c r="D46" s="53" t="s">
        <v>1</v>
      </c>
      <c r="E46" s="187">
        <v>500</v>
      </c>
      <c r="F46" s="113"/>
      <c r="G46" s="113"/>
      <c r="H46" s="1"/>
      <c r="I46" s="6"/>
      <c r="J46" s="80"/>
      <c r="K46" s="1"/>
    </row>
    <row r="47" spans="1:11" x14ac:dyDescent="0.35">
      <c r="A47" s="77"/>
      <c r="B47" s="99" t="s">
        <v>140</v>
      </c>
      <c r="C47" s="100" t="s">
        <v>109</v>
      </c>
      <c r="D47" s="101" t="s">
        <v>1</v>
      </c>
      <c r="E47" s="187">
        <f>+H38</f>
        <v>27400</v>
      </c>
      <c r="F47" s="113"/>
      <c r="G47" s="113"/>
      <c r="H47" s="1"/>
      <c r="I47" s="6"/>
      <c r="J47" s="80"/>
      <c r="K47" s="1"/>
    </row>
    <row r="48" spans="1:11" x14ac:dyDescent="0.35">
      <c r="A48" s="77"/>
      <c r="B48" s="6"/>
      <c r="C48" s="50" t="s">
        <v>93</v>
      </c>
      <c r="D48" s="51" t="s">
        <v>94</v>
      </c>
      <c r="E48" s="187">
        <v>0</v>
      </c>
      <c r="F48" s="113"/>
      <c r="G48" s="113"/>
      <c r="H48" s="1"/>
      <c r="I48" s="78"/>
      <c r="J48" s="79" t="s">
        <v>95</v>
      </c>
      <c r="K48" s="1" t="s">
        <v>142</v>
      </c>
    </row>
    <row r="49" spans="1:11" x14ac:dyDescent="0.35">
      <c r="A49" s="77"/>
      <c r="B49" s="6"/>
      <c r="C49" s="26" t="s">
        <v>5</v>
      </c>
      <c r="D49" s="27" t="s">
        <v>4</v>
      </c>
      <c r="E49" s="187">
        <f>SUM(E45:E48)</f>
        <v>28000</v>
      </c>
      <c r="F49" s="113"/>
      <c r="G49" s="113"/>
      <c r="H49" s="1"/>
      <c r="I49" s="6"/>
      <c r="J49" s="80"/>
      <c r="K49" s="1"/>
    </row>
    <row r="50" spans="1:11" x14ac:dyDescent="0.35">
      <c r="A50" s="77"/>
      <c r="B50" s="99" t="s">
        <v>140</v>
      </c>
      <c r="C50" s="100" t="s">
        <v>110</v>
      </c>
      <c r="D50" s="101" t="s">
        <v>6</v>
      </c>
      <c r="E50" s="187">
        <v>-500</v>
      </c>
      <c r="F50" s="113"/>
      <c r="G50" s="113"/>
      <c r="H50" s="1"/>
      <c r="I50" s="6"/>
      <c r="J50" s="80"/>
      <c r="K50" s="1"/>
    </row>
    <row r="51" spans="1:11" x14ac:dyDescent="0.35">
      <c r="A51" s="77"/>
      <c r="B51" s="78" t="s">
        <v>141</v>
      </c>
      <c r="C51" s="54" t="s">
        <v>111</v>
      </c>
      <c r="D51" s="55" t="s">
        <v>6</v>
      </c>
      <c r="E51" s="187">
        <v>-15100</v>
      </c>
      <c r="F51" s="113"/>
      <c r="G51" s="113"/>
      <c r="H51" s="48">
        <f>+E51</f>
        <v>-15100</v>
      </c>
      <c r="I51" s="78"/>
      <c r="J51" s="79" t="s">
        <v>112</v>
      </c>
      <c r="K51" s="1"/>
    </row>
    <row r="52" spans="1:11" ht="15" thickBot="1" x14ac:dyDescent="0.4">
      <c r="A52" s="82"/>
      <c r="B52" s="83"/>
      <c r="C52" s="86" t="s">
        <v>113</v>
      </c>
      <c r="D52" s="87" t="s">
        <v>4</v>
      </c>
      <c r="E52" s="103">
        <f>-E49-E50-E51</f>
        <v>-12400</v>
      </c>
      <c r="F52" s="114"/>
      <c r="G52" s="114"/>
      <c r="H52" s="32"/>
      <c r="I52" s="83"/>
      <c r="J52" s="85"/>
      <c r="K52" s="1"/>
    </row>
    <row r="53" spans="1:11" x14ac:dyDescent="0.35">
      <c r="A53" s="1"/>
      <c r="B53" s="1"/>
      <c r="C53" s="1"/>
      <c r="D53" s="6"/>
      <c r="E53" s="1"/>
      <c r="F53" s="1"/>
      <c r="G53" s="1"/>
      <c r="H53" s="1"/>
      <c r="I53" s="1"/>
      <c r="J53" s="1"/>
    </row>
    <row r="54" spans="1:11" ht="15" thickBot="1" x14ac:dyDescent="0.4">
      <c r="A54" s="1"/>
      <c r="B54" s="1"/>
      <c r="C54" s="1"/>
      <c r="D54" s="6"/>
      <c r="E54" s="1"/>
      <c r="F54" s="1"/>
      <c r="G54" s="1"/>
      <c r="H54" s="1"/>
      <c r="I54" s="1"/>
      <c r="J54" s="1"/>
    </row>
    <row r="55" spans="1:11" x14ac:dyDescent="0.35">
      <c r="A55" s="88"/>
      <c r="B55" s="89"/>
      <c r="C55" s="89"/>
      <c r="D55" s="90"/>
      <c r="E55" s="89"/>
      <c r="F55" s="89"/>
      <c r="G55" s="89"/>
      <c r="H55" s="89"/>
      <c r="I55" s="89"/>
      <c r="J55" s="91"/>
    </row>
    <row r="56" spans="1:11" x14ac:dyDescent="0.35">
      <c r="A56" s="92"/>
      <c r="C56" s="26" t="s">
        <v>114</v>
      </c>
      <c r="D56" s="2"/>
      <c r="E56" s="27" t="s">
        <v>115</v>
      </c>
      <c r="F56" s="27" t="s">
        <v>115</v>
      </c>
      <c r="J56" s="93"/>
    </row>
    <row r="57" spans="1:11" ht="15" thickBot="1" x14ac:dyDescent="0.4">
      <c r="A57" s="92"/>
      <c r="D57" s="2"/>
      <c r="J57" s="93"/>
    </row>
    <row r="58" spans="1:11" ht="15" thickBot="1" x14ac:dyDescent="0.4">
      <c r="A58" s="77" t="s">
        <v>116</v>
      </c>
      <c r="C58" s="54" t="s">
        <v>117</v>
      </c>
      <c r="D58" s="2"/>
      <c r="E58" s="57">
        <v>20000</v>
      </c>
      <c r="F58" s="56">
        <f>+E58/$E$58</f>
        <v>1</v>
      </c>
      <c r="J58" s="93"/>
    </row>
    <row r="59" spans="1:11" ht="15" thickBot="1" x14ac:dyDescent="0.4">
      <c r="A59" s="92"/>
      <c r="D59" s="2"/>
      <c r="J59" s="80"/>
    </row>
    <row r="60" spans="1:11" x14ac:dyDescent="0.35">
      <c r="A60" s="77" t="s">
        <v>118</v>
      </c>
      <c r="B60" s="78" t="s">
        <v>141</v>
      </c>
      <c r="C60" s="58" t="s">
        <v>119</v>
      </c>
      <c r="D60" s="2"/>
      <c r="E60" s="189">
        <f>-H51</f>
        <v>15100</v>
      </c>
      <c r="F60" s="190">
        <f t="shared" ref="F60:F65" si="3">+E60/$E$58</f>
        <v>0.755</v>
      </c>
      <c r="J60" s="93"/>
    </row>
    <row r="61" spans="1:11" x14ac:dyDescent="0.35">
      <c r="A61" s="92" t="s">
        <v>150</v>
      </c>
      <c r="B61" s="78" t="s">
        <v>89</v>
      </c>
      <c r="C61" s="59" t="s">
        <v>120</v>
      </c>
      <c r="D61" s="2"/>
      <c r="E61" s="191">
        <f>+H7</f>
        <v>1000</v>
      </c>
      <c r="F61" s="192">
        <f t="shared" si="3"/>
        <v>0.05</v>
      </c>
      <c r="J61" s="93"/>
    </row>
    <row r="62" spans="1:11" x14ac:dyDescent="0.35">
      <c r="A62" s="92"/>
      <c r="B62" s="78" t="s">
        <v>86</v>
      </c>
      <c r="C62" s="59" t="s">
        <v>121</v>
      </c>
      <c r="D62" s="2"/>
      <c r="E62" s="191">
        <f>+H6+0+H45</f>
        <v>-20</v>
      </c>
      <c r="F62" s="195">
        <f t="shared" si="3"/>
        <v>-1E-3</v>
      </c>
      <c r="G62" s="5" t="s">
        <v>125</v>
      </c>
      <c r="J62" s="93"/>
    </row>
    <row r="63" spans="1:11" x14ac:dyDescent="0.35">
      <c r="A63" s="92"/>
      <c r="B63" s="78" t="s">
        <v>101</v>
      </c>
      <c r="C63" s="59" t="s">
        <v>122</v>
      </c>
      <c r="D63" s="2"/>
      <c r="E63" s="191">
        <f>+H41</f>
        <v>-1500</v>
      </c>
      <c r="F63" s="195">
        <f t="shared" si="3"/>
        <v>-7.4999999999999997E-2</v>
      </c>
      <c r="G63" s="5" t="s">
        <v>125</v>
      </c>
      <c r="J63" s="93"/>
    </row>
    <row r="64" spans="1:11" ht="15" thickBot="1" x14ac:dyDescent="0.4">
      <c r="A64" s="92"/>
      <c r="B64" s="78" t="s">
        <v>104</v>
      </c>
      <c r="C64" s="60" t="s">
        <v>123</v>
      </c>
      <c r="D64" s="2"/>
      <c r="E64" s="191">
        <f>+H42</f>
        <v>500</v>
      </c>
      <c r="F64" s="193">
        <f t="shared" si="3"/>
        <v>2.5000000000000001E-2</v>
      </c>
      <c r="J64" s="93"/>
    </row>
    <row r="65" spans="1:10" ht="15" thickBot="1" x14ac:dyDescent="0.4">
      <c r="A65" s="92"/>
      <c r="B65" s="6"/>
      <c r="C65" s="63" t="s">
        <v>126</v>
      </c>
      <c r="D65" s="2"/>
      <c r="E65" s="194">
        <f>SUM(E60:E64)</f>
        <v>15080</v>
      </c>
      <c r="F65" s="64">
        <f t="shared" si="3"/>
        <v>0.754</v>
      </c>
      <c r="J65" s="93"/>
    </row>
    <row r="66" spans="1:10" ht="15" thickBot="1" x14ac:dyDescent="0.4">
      <c r="A66" s="92"/>
      <c r="D66" s="2"/>
      <c r="J66" s="93"/>
    </row>
    <row r="67" spans="1:10" ht="15" thickBot="1" x14ac:dyDescent="0.4">
      <c r="A67" s="92"/>
      <c r="C67" s="65" t="s">
        <v>124</v>
      </c>
      <c r="D67" s="2"/>
      <c r="E67" s="66">
        <f>+E58-E65</f>
        <v>4920</v>
      </c>
      <c r="F67" s="67">
        <f>+E67/$E$58</f>
        <v>0.246</v>
      </c>
      <c r="J67" s="93"/>
    </row>
    <row r="68" spans="1:10" ht="15" thickBot="1" x14ac:dyDescent="0.4">
      <c r="A68" s="92"/>
      <c r="D68" s="2"/>
      <c r="J68" s="93"/>
    </row>
    <row r="69" spans="1:10" ht="15" thickBot="1" x14ac:dyDescent="0.4">
      <c r="A69" s="77" t="s">
        <v>129</v>
      </c>
      <c r="C69" s="62" t="s">
        <v>71</v>
      </c>
      <c r="D69" s="2"/>
      <c r="E69" s="57">
        <v>1000</v>
      </c>
      <c r="F69" s="56">
        <f>+E69/$E$58</f>
        <v>0.05</v>
      </c>
      <c r="J69" s="93"/>
    </row>
    <row r="70" spans="1:10" ht="15" thickBot="1" x14ac:dyDescent="0.4">
      <c r="A70" s="92"/>
      <c r="D70" s="2"/>
      <c r="J70" s="93"/>
    </row>
    <row r="71" spans="1:10" ht="15" thickBot="1" x14ac:dyDescent="0.4">
      <c r="A71" s="77" t="s">
        <v>130</v>
      </c>
      <c r="C71" s="62" t="s">
        <v>127</v>
      </c>
      <c r="D71" s="2"/>
      <c r="E71" s="57">
        <v>500</v>
      </c>
      <c r="F71" s="56">
        <f>+E71/$E$58</f>
        <v>2.5000000000000001E-2</v>
      </c>
      <c r="J71" s="93"/>
    </row>
    <row r="72" spans="1:10" ht="15" thickBot="1" x14ac:dyDescent="0.4">
      <c r="A72" s="92"/>
      <c r="D72" s="2"/>
      <c r="J72" s="93"/>
    </row>
    <row r="73" spans="1:10" ht="15" thickBot="1" x14ac:dyDescent="0.4">
      <c r="A73" s="92"/>
      <c r="C73" s="65" t="s">
        <v>128</v>
      </c>
      <c r="D73" s="2"/>
      <c r="E73" s="66">
        <f>+E67-E69-E71</f>
        <v>3420</v>
      </c>
      <c r="F73" s="67">
        <f>+E73/$E$58</f>
        <v>0.17100000000000001</v>
      </c>
      <c r="J73" s="93"/>
    </row>
    <row r="74" spans="1:10" ht="15" thickBot="1" x14ac:dyDescent="0.4">
      <c r="A74" s="94"/>
      <c r="B74" s="10"/>
      <c r="C74" s="10"/>
      <c r="D74" s="95"/>
      <c r="E74" s="10"/>
      <c r="F74" s="10"/>
      <c r="G74" s="10"/>
      <c r="H74" s="10"/>
      <c r="I74" s="10"/>
      <c r="J74" s="96"/>
    </row>
    <row r="75" spans="1:10" x14ac:dyDescent="0.35">
      <c r="D75" s="2"/>
    </row>
    <row r="76" spans="1:10" x14ac:dyDescent="0.35">
      <c r="D76" s="2"/>
    </row>
    <row r="77" spans="1:10" x14ac:dyDescent="0.35">
      <c r="D77" s="2"/>
    </row>
    <row r="78" spans="1:10" x14ac:dyDescent="0.35">
      <c r="D78" s="2"/>
    </row>
    <row r="79" spans="1:10" x14ac:dyDescent="0.35">
      <c r="D79" s="2"/>
    </row>
  </sheetData>
  <conditionalFormatting sqref="G62:G63">
    <cfRule type="cellIs" dxfId="1" priority="5" operator="greaterThan">
      <formula>0</formula>
    </cfRule>
  </conditionalFormatting>
  <conditionalFormatting sqref="H6:H7 H15:H16 H41:H42 H45 F45:G52 H51 E58:E67 F59 F66 E69 E71 E73">
    <cfRule type="cellIs" dxfId="0" priority="8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36"/>
  <sheetViews>
    <sheetView tabSelected="1" zoomScaleNormal="100" workbookViewId="0">
      <pane ySplit="1" topLeftCell="A68" activePane="bottomLeft" state="frozen"/>
      <selection pane="bottomLeft" activeCell="E63" sqref="E63"/>
    </sheetView>
  </sheetViews>
  <sheetFormatPr baseColWidth="10" defaultRowHeight="14.5" x14ac:dyDescent="0.35"/>
  <cols>
    <col min="1" max="1" width="11.7265625" style="201" customWidth="1"/>
    <col min="2" max="3" width="8" style="201" customWidth="1"/>
    <col min="4" max="4" width="7.7265625" style="201" bestFit="1" customWidth="1"/>
    <col min="5" max="5" width="49.54296875" bestFit="1" customWidth="1"/>
    <col min="6" max="6" width="4.7265625" style="201" bestFit="1" customWidth="1"/>
    <col min="7" max="7" width="6.453125" style="201" customWidth="1"/>
    <col min="12" max="12" width="15.54296875" bestFit="1" customWidth="1"/>
  </cols>
  <sheetData>
    <row r="1" spans="1:8" ht="39.5" x14ac:dyDescent="0.35">
      <c r="A1" s="198" t="s">
        <v>209</v>
      </c>
      <c r="B1" s="198" t="s">
        <v>210</v>
      </c>
      <c r="C1" s="198" t="s">
        <v>677</v>
      </c>
      <c r="D1" s="198"/>
      <c r="E1" s="199" t="s">
        <v>674</v>
      </c>
      <c r="F1" s="198" t="s">
        <v>211</v>
      </c>
      <c r="G1" s="198" t="s">
        <v>212</v>
      </c>
      <c r="H1" s="198" t="s">
        <v>679</v>
      </c>
    </row>
    <row r="2" spans="1:8" x14ac:dyDescent="0.35">
      <c r="A2" s="196" t="s">
        <v>250</v>
      </c>
      <c r="B2" s="196" t="s">
        <v>250</v>
      </c>
      <c r="C2" s="222" t="str">
        <f>IF(B2="",C1,B2)</f>
        <v>1</v>
      </c>
      <c r="D2" s="196"/>
      <c r="E2" s="196" t="s">
        <v>251</v>
      </c>
      <c r="F2" s="196" t="s">
        <v>252</v>
      </c>
      <c r="G2" s="196" t="s">
        <v>217</v>
      </c>
      <c r="H2">
        <f>LEN(E2)</f>
        <v>7</v>
      </c>
    </row>
    <row r="3" spans="1:8" x14ac:dyDescent="0.35">
      <c r="A3" s="196" t="s">
        <v>250</v>
      </c>
      <c r="B3" s="196" t="s">
        <v>228</v>
      </c>
      <c r="C3" s="222" t="str">
        <f t="shared" ref="C3:C77" si="0">IF(B3="",C2,B3)</f>
        <v>10</v>
      </c>
      <c r="D3" s="196"/>
      <c r="E3" s="204" t="s">
        <v>253</v>
      </c>
      <c r="F3" s="196" t="s">
        <v>254</v>
      </c>
      <c r="G3" s="196" t="s">
        <v>217</v>
      </c>
      <c r="H3">
        <f t="shared" ref="H3:H150" si="1">LEN(E3)</f>
        <v>17</v>
      </c>
    </row>
    <row r="4" spans="1:8" x14ac:dyDescent="0.35">
      <c r="A4" s="196" t="s">
        <v>250</v>
      </c>
      <c r="B4" s="196" t="s">
        <v>255</v>
      </c>
      <c r="C4" s="222" t="str">
        <f t="shared" si="0"/>
        <v>100</v>
      </c>
      <c r="D4" s="196"/>
      <c r="E4" s="205" t="s">
        <v>256</v>
      </c>
      <c r="F4" s="196" t="s">
        <v>216</v>
      </c>
      <c r="G4" s="196" t="s">
        <v>217</v>
      </c>
      <c r="H4">
        <f t="shared" si="1"/>
        <v>16</v>
      </c>
    </row>
    <row r="5" spans="1:8" x14ac:dyDescent="0.35">
      <c r="A5" s="196"/>
      <c r="B5" s="196"/>
      <c r="C5" s="222" t="str">
        <f t="shared" si="0"/>
        <v>100</v>
      </c>
      <c r="D5" s="196" t="s">
        <v>218</v>
      </c>
      <c r="E5" s="208" t="s">
        <v>257</v>
      </c>
      <c r="F5" s="196" t="s">
        <v>219</v>
      </c>
      <c r="G5" s="196" t="s">
        <v>217</v>
      </c>
      <c r="H5">
        <f t="shared" si="1"/>
        <v>19</v>
      </c>
    </row>
    <row r="6" spans="1:8" x14ac:dyDescent="0.35">
      <c r="A6" s="196"/>
      <c r="B6" s="196"/>
      <c r="C6" s="222" t="str">
        <f t="shared" si="0"/>
        <v>100</v>
      </c>
      <c r="D6" s="196" t="s">
        <v>53</v>
      </c>
      <c r="E6" s="213" t="s">
        <v>569</v>
      </c>
      <c r="F6" s="196" t="s">
        <v>247</v>
      </c>
      <c r="G6" s="196" t="s">
        <v>164</v>
      </c>
      <c r="H6">
        <f t="shared" si="1"/>
        <v>20</v>
      </c>
    </row>
    <row r="7" spans="1:8" x14ac:dyDescent="0.35">
      <c r="A7" s="196"/>
      <c r="B7" s="196"/>
      <c r="C7" s="222" t="str">
        <f t="shared" si="0"/>
        <v>100</v>
      </c>
      <c r="D7" s="196" t="s">
        <v>55</v>
      </c>
      <c r="E7" s="213" t="s">
        <v>570</v>
      </c>
      <c r="F7" s="196" t="s">
        <v>247</v>
      </c>
      <c r="G7" s="196" t="s">
        <v>164</v>
      </c>
      <c r="H7">
        <f t="shared" si="1"/>
        <v>17</v>
      </c>
    </row>
    <row r="8" spans="1:8" x14ac:dyDescent="0.35">
      <c r="A8" s="196"/>
      <c r="B8" s="196"/>
      <c r="C8" s="222" t="str">
        <f t="shared" si="0"/>
        <v>100</v>
      </c>
      <c r="D8" s="196" t="s">
        <v>57</v>
      </c>
      <c r="E8" s="213" t="s">
        <v>1124</v>
      </c>
      <c r="F8" s="196" t="s">
        <v>247</v>
      </c>
      <c r="G8" s="196" t="s">
        <v>164</v>
      </c>
      <c r="H8">
        <f t="shared" si="1"/>
        <v>14</v>
      </c>
    </row>
    <row r="9" spans="1:8" x14ac:dyDescent="0.35">
      <c r="A9" s="196"/>
      <c r="B9" s="196"/>
      <c r="C9" s="222" t="str">
        <f t="shared" si="0"/>
        <v>100</v>
      </c>
      <c r="D9" s="196" t="s">
        <v>59</v>
      </c>
      <c r="E9" s="213" t="s">
        <v>571</v>
      </c>
      <c r="F9" s="196" t="s">
        <v>247</v>
      </c>
      <c r="G9" s="196" t="s">
        <v>164</v>
      </c>
      <c r="H9">
        <f t="shared" si="1"/>
        <v>17</v>
      </c>
    </row>
    <row r="10" spans="1:8" x14ac:dyDescent="0.35">
      <c r="A10" s="196"/>
      <c r="B10" s="196"/>
      <c r="C10" s="222" t="str">
        <f t="shared" si="0"/>
        <v>100</v>
      </c>
      <c r="D10" s="196" t="s">
        <v>229</v>
      </c>
      <c r="E10" s="213" t="s">
        <v>572</v>
      </c>
      <c r="F10" s="196" t="s">
        <v>247</v>
      </c>
      <c r="G10" s="196" t="s">
        <v>164</v>
      </c>
      <c r="H10">
        <f t="shared" si="1"/>
        <v>15</v>
      </c>
    </row>
    <row r="11" spans="1:8" x14ac:dyDescent="0.35">
      <c r="A11" s="196"/>
      <c r="B11" s="196"/>
      <c r="C11" s="222" t="str">
        <f t="shared" si="0"/>
        <v>100</v>
      </c>
      <c r="D11" s="196" t="s">
        <v>230</v>
      </c>
      <c r="E11" s="213" t="s">
        <v>573</v>
      </c>
      <c r="F11" s="196" t="s">
        <v>247</v>
      </c>
      <c r="G11" s="196" t="s">
        <v>164</v>
      </c>
      <c r="H11">
        <f t="shared" si="1"/>
        <v>20</v>
      </c>
    </row>
    <row r="12" spans="1:8" x14ac:dyDescent="0.35">
      <c r="A12" s="196"/>
      <c r="B12" s="196"/>
      <c r="C12" s="222" t="str">
        <f t="shared" si="0"/>
        <v>100</v>
      </c>
      <c r="D12" s="196" t="s">
        <v>231</v>
      </c>
      <c r="E12" s="213" t="s">
        <v>574</v>
      </c>
      <c r="F12" s="196" t="s">
        <v>247</v>
      </c>
      <c r="G12" s="196" t="s">
        <v>164</v>
      </c>
      <c r="H12">
        <f t="shared" si="1"/>
        <v>18</v>
      </c>
    </row>
    <row r="13" spans="1:8" x14ac:dyDescent="0.35">
      <c r="A13" s="196"/>
      <c r="B13" s="196"/>
      <c r="C13" s="222" t="str">
        <f t="shared" si="0"/>
        <v>100</v>
      </c>
      <c r="D13" s="196" t="s">
        <v>232</v>
      </c>
      <c r="E13" s="213" t="s">
        <v>568</v>
      </c>
      <c r="F13" s="196" t="s">
        <v>247</v>
      </c>
      <c r="G13" s="196" t="s">
        <v>164</v>
      </c>
      <c r="H13">
        <f t="shared" si="1"/>
        <v>17</v>
      </c>
    </row>
    <row r="14" spans="1:8" x14ac:dyDescent="0.35">
      <c r="A14" s="196"/>
      <c r="B14" s="196"/>
      <c r="C14" s="222" t="str">
        <f t="shared" si="0"/>
        <v>100</v>
      </c>
      <c r="D14" s="196" t="s">
        <v>233</v>
      </c>
      <c r="E14" s="213" t="s">
        <v>567</v>
      </c>
      <c r="F14" s="196" t="s">
        <v>247</v>
      </c>
      <c r="G14" s="196" t="s">
        <v>164</v>
      </c>
      <c r="H14">
        <f t="shared" si="1"/>
        <v>21</v>
      </c>
    </row>
    <row r="15" spans="1:8" x14ac:dyDescent="0.35">
      <c r="A15" s="196"/>
      <c r="B15" s="196"/>
      <c r="C15" s="222" t="str">
        <f t="shared" ref="C15:C20" si="2">IF(B15="",C14,B15)</f>
        <v>100</v>
      </c>
      <c r="D15" s="196" t="s">
        <v>234</v>
      </c>
      <c r="E15" s="213" t="s">
        <v>737</v>
      </c>
      <c r="F15" s="196" t="s">
        <v>247</v>
      </c>
      <c r="G15" s="196" t="s">
        <v>164</v>
      </c>
      <c r="H15">
        <f t="shared" ref="H15" si="3">LEN(E15)</f>
        <v>23</v>
      </c>
    </row>
    <row r="16" spans="1:8" x14ac:dyDescent="0.35">
      <c r="A16" s="196"/>
      <c r="B16" s="196"/>
      <c r="C16" s="222" t="str">
        <f t="shared" si="2"/>
        <v>100</v>
      </c>
      <c r="D16" s="196" t="s">
        <v>235</v>
      </c>
      <c r="E16" s="213" t="s">
        <v>1125</v>
      </c>
      <c r="F16" s="196" t="s">
        <v>247</v>
      </c>
      <c r="G16" s="196" t="s">
        <v>164</v>
      </c>
      <c r="H16">
        <f t="shared" ref="H16:H20" si="4">LEN(E16)</f>
        <v>18</v>
      </c>
    </row>
    <row r="17" spans="1:8" x14ac:dyDescent="0.35">
      <c r="A17" s="196"/>
      <c r="B17" s="196"/>
      <c r="C17" s="222" t="str">
        <f t="shared" si="2"/>
        <v>100</v>
      </c>
      <c r="D17" s="196" t="s">
        <v>236</v>
      </c>
      <c r="E17" s="213" t="s">
        <v>1126</v>
      </c>
      <c r="F17" s="196" t="s">
        <v>247</v>
      </c>
      <c r="G17" s="196" t="s">
        <v>164</v>
      </c>
      <c r="H17">
        <f t="shared" si="4"/>
        <v>21</v>
      </c>
    </row>
    <row r="18" spans="1:8" x14ac:dyDescent="0.35">
      <c r="A18" s="196"/>
      <c r="B18" s="196"/>
      <c r="C18" s="222" t="str">
        <f t="shared" si="2"/>
        <v>100</v>
      </c>
      <c r="D18" s="196" t="s">
        <v>237</v>
      </c>
      <c r="E18" s="213" t="s">
        <v>1127</v>
      </c>
      <c r="F18" s="196" t="s">
        <v>247</v>
      </c>
      <c r="G18" s="196" t="s">
        <v>164</v>
      </c>
      <c r="H18">
        <f t="shared" si="4"/>
        <v>23</v>
      </c>
    </row>
    <row r="19" spans="1:8" x14ac:dyDescent="0.35">
      <c r="A19" s="196"/>
      <c r="B19" s="196"/>
      <c r="C19" s="222" t="str">
        <f t="shared" si="2"/>
        <v>100</v>
      </c>
      <c r="D19" s="196" t="s">
        <v>238</v>
      </c>
      <c r="E19" s="213" t="s">
        <v>1128</v>
      </c>
      <c r="F19" s="196" t="s">
        <v>247</v>
      </c>
      <c r="G19" s="196" t="s">
        <v>164</v>
      </c>
      <c r="H19">
        <f t="shared" si="4"/>
        <v>23</v>
      </c>
    </row>
    <row r="20" spans="1:8" x14ac:dyDescent="0.35">
      <c r="A20" s="196"/>
      <c r="B20" s="196"/>
      <c r="C20" s="222" t="str">
        <f t="shared" si="2"/>
        <v>100</v>
      </c>
      <c r="D20" s="196" t="s">
        <v>239</v>
      </c>
      <c r="E20" s="213" t="s">
        <v>1126</v>
      </c>
      <c r="F20" s="196" t="s">
        <v>247</v>
      </c>
      <c r="G20" s="196" t="s">
        <v>164</v>
      </c>
      <c r="H20">
        <f t="shared" si="4"/>
        <v>21</v>
      </c>
    </row>
    <row r="21" spans="1:8" x14ac:dyDescent="0.35">
      <c r="A21" s="196" t="s">
        <v>250</v>
      </c>
      <c r="B21" s="196" t="s">
        <v>258</v>
      </c>
      <c r="C21" s="222" t="str">
        <f>IF(B21="",C14,B21)</f>
        <v>105</v>
      </c>
      <c r="D21" s="196"/>
      <c r="E21" s="205" t="s">
        <v>259</v>
      </c>
      <c r="F21" s="196" t="s">
        <v>216</v>
      </c>
      <c r="G21" s="196" t="s">
        <v>217</v>
      </c>
      <c r="H21">
        <f t="shared" si="1"/>
        <v>6</v>
      </c>
    </row>
    <row r="22" spans="1:8" x14ac:dyDescent="0.35">
      <c r="A22" s="196"/>
      <c r="B22" s="196"/>
      <c r="C22" s="222" t="str">
        <f t="shared" si="0"/>
        <v>105</v>
      </c>
      <c r="D22" s="196" t="s">
        <v>218</v>
      </c>
      <c r="E22" s="208" t="s">
        <v>260</v>
      </c>
      <c r="F22" s="196" t="s">
        <v>219</v>
      </c>
      <c r="G22" s="196" t="s">
        <v>217</v>
      </c>
      <c r="H22">
        <f t="shared" si="1"/>
        <v>8</v>
      </c>
    </row>
    <row r="23" spans="1:8" x14ac:dyDescent="0.35">
      <c r="A23" s="196"/>
      <c r="B23" s="196"/>
      <c r="C23" s="222" t="str">
        <f t="shared" si="0"/>
        <v>105</v>
      </c>
      <c r="D23" s="196" t="s">
        <v>53</v>
      </c>
      <c r="E23" s="214" t="s">
        <v>261</v>
      </c>
      <c r="F23" s="196" t="s">
        <v>247</v>
      </c>
      <c r="G23" s="196" t="s">
        <v>217</v>
      </c>
      <c r="H23">
        <f t="shared" si="1"/>
        <v>7</v>
      </c>
    </row>
    <row r="24" spans="1:8" x14ac:dyDescent="0.35">
      <c r="A24" s="196"/>
      <c r="B24" s="196"/>
      <c r="C24" s="222" t="str">
        <f t="shared" si="0"/>
        <v>105</v>
      </c>
      <c r="D24" s="196" t="s">
        <v>262</v>
      </c>
      <c r="E24" s="219" t="s">
        <v>575</v>
      </c>
      <c r="F24" s="196" t="s">
        <v>248</v>
      </c>
      <c r="G24" s="196" t="s">
        <v>164</v>
      </c>
      <c r="H24">
        <f t="shared" si="1"/>
        <v>19</v>
      </c>
    </row>
    <row r="25" spans="1:8" x14ac:dyDescent="0.35">
      <c r="A25" s="196"/>
      <c r="B25" s="196"/>
      <c r="C25" s="222" t="str">
        <f t="shared" si="0"/>
        <v>105</v>
      </c>
      <c r="D25" s="196" t="s">
        <v>263</v>
      </c>
      <c r="E25" s="219" t="s">
        <v>576</v>
      </c>
      <c r="F25" s="196" t="s">
        <v>248</v>
      </c>
      <c r="G25" s="196" t="s">
        <v>164</v>
      </c>
      <c r="H25">
        <f t="shared" si="1"/>
        <v>19</v>
      </c>
    </row>
    <row r="26" spans="1:8" x14ac:dyDescent="0.35">
      <c r="A26" s="196"/>
      <c r="B26" s="196"/>
      <c r="C26" s="222" t="str">
        <f t="shared" si="0"/>
        <v>105</v>
      </c>
      <c r="D26" s="196" t="s">
        <v>264</v>
      </c>
      <c r="E26" s="219" t="s">
        <v>1016</v>
      </c>
      <c r="F26" s="196" t="s">
        <v>248</v>
      </c>
      <c r="G26" s="196" t="s">
        <v>164</v>
      </c>
      <c r="H26">
        <f t="shared" si="1"/>
        <v>31</v>
      </c>
    </row>
    <row r="27" spans="1:8" x14ac:dyDescent="0.35">
      <c r="A27" s="196"/>
      <c r="B27" s="196"/>
      <c r="C27" s="222" t="str">
        <f t="shared" si="0"/>
        <v>105</v>
      </c>
      <c r="D27" s="196" t="s">
        <v>1006</v>
      </c>
      <c r="E27" s="219" t="s">
        <v>1017</v>
      </c>
      <c r="F27" s="196" t="s">
        <v>248</v>
      </c>
      <c r="G27" s="196" t="s">
        <v>164</v>
      </c>
      <c r="H27">
        <f t="shared" ref="H27:H36" si="5">LEN(E27)</f>
        <v>19</v>
      </c>
    </row>
    <row r="28" spans="1:8" x14ac:dyDescent="0.35">
      <c r="A28" s="196"/>
      <c r="B28" s="196"/>
      <c r="C28" s="222" t="str">
        <f t="shared" si="0"/>
        <v>105</v>
      </c>
      <c r="D28" s="196" t="s">
        <v>1007</v>
      </c>
      <c r="E28" s="219" t="s">
        <v>1018</v>
      </c>
      <c r="F28" s="196" t="s">
        <v>248</v>
      </c>
      <c r="G28" s="196" t="s">
        <v>164</v>
      </c>
      <c r="H28">
        <f t="shared" si="5"/>
        <v>19</v>
      </c>
    </row>
    <row r="29" spans="1:8" x14ac:dyDescent="0.35">
      <c r="A29" s="196"/>
      <c r="B29" s="196"/>
      <c r="C29" s="222" t="str">
        <f t="shared" si="0"/>
        <v>105</v>
      </c>
      <c r="D29" s="196" t="s">
        <v>1008</v>
      </c>
      <c r="E29" s="219" t="s">
        <v>1019</v>
      </c>
      <c r="F29" s="196" t="s">
        <v>248</v>
      </c>
      <c r="G29" s="196" t="s">
        <v>164</v>
      </c>
      <c r="H29">
        <f t="shared" si="5"/>
        <v>19</v>
      </c>
    </row>
    <row r="30" spans="1:8" x14ac:dyDescent="0.35">
      <c r="A30" s="196"/>
      <c r="B30" s="196"/>
      <c r="C30" s="222" t="str">
        <f t="shared" si="0"/>
        <v>105</v>
      </c>
      <c r="D30" s="196" t="s">
        <v>1009</v>
      </c>
      <c r="E30" s="219" t="s">
        <v>1020</v>
      </c>
      <c r="F30" s="196" t="s">
        <v>248</v>
      </c>
      <c r="G30" s="196" t="s">
        <v>164</v>
      </c>
      <c r="H30">
        <f t="shared" si="5"/>
        <v>19</v>
      </c>
    </row>
    <row r="31" spans="1:8" x14ac:dyDescent="0.35">
      <c r="A31" s="196"/>
      <c r="B31" s="196"/>
      <c r="C31" s="222" t="str">
        <f t="shared" si="0"/>
        <v>105</v>
      </c>
      <c r="D31" s="196" t="s">
        <v>1010</v>
      </c>
      <c r="E31" s="219" t="s">
        <v>1021</v>
      </c>
      <c r="F31" s="196" t="s">
        <v>248</v>
      </c>
      <c r="G31" s="196" t="s">
        <v>164</v>
      </c>
      <c r="H31">
        <f t="shared" si="5"/>
        <v>19</v>
      </c>
    </row>
    <row r="32" spans="1:8" x14ac:dyDescent="0.35">
      <c r="A32" s="196"/>
      <c r="B32" s="196"/>
      <c r="C32" s="222" t="str">
        <f t="shared" si="0"/>
        <v>105</v>
      </c>
      <c r="D32" s="196" t="s">
        <v>1011</v>
      </c>
      <c r="E32" s="219" t="s">
        <v>1022</v>
      </c>
      <c r="F32" s="196" t="s">
        <v>248</v>
      </c>
      <c r="G32" s="196" t="s">
        <v>164</v>
      </c>
      <c r="H32">
        <f t="shared" si="5"/>
        <v>19</v>
      </c>
    </row>
    <row r="33" spans="1:8" x14ac:dyDescent="0.35">
      <c r="A33" s="196"/>
      <c r="B33" s="196"/>
      <c r="C33" s="222" t="str">
        <f t="shared" si="0"/>
        <v>105</v>
      </c>
      <c r="D33" s="196" t="s">
        <v>1012</v>
      </c>
      <c r="E33" s="219" t="s">
        <v>1023</v>
      </c>
      <c r="F33" s="196" t="s">
        <v>248</v>
      </c>
      <c r="G33" s="196" t="s">
        <v>164</v>
      </c>
      <c r="H33">
        <f t="shared" si="5"/>
        <v>19</v>
      </c>
    </row>
    <row r="34" spans="1:8" x14ac:dyDescent="0.35">
      <c r="A34" s="196"/>
      <c r="B34" s="196"/>
      <c r="C34" s="222" t="str">
        <f t="shared" si="0"/>
        <v>105</v>
      </c>
      <c r="D34" s="196" t="s">
        <v>1013</v>
      </c>
      <c r="E34" s="219" t="s">
        <v>1024</v>
      </c>
      <c r="F34" s="196" t="s">
        <v>248</v>
      </c>
      <c r="G34" s="196" t="s">
        <v>164</v>
      </c>
      <c r="H34">
        <f t="shared" si="5"/>
        <v>20</v>
      </c>
    </row>
    <row r="35" spans="1:8" x14ac:dyDescent="0.35">
      <c r="A35" s="196"/>
      <c r="B35" s="196"/>
      <c r="C35" s="222" t="str">
        <f t="shared" si="0"/>
        <v>105</v>
      </c>
      <c r="D35" s="196" t="s">
        <v>1014</v>
      </c>
      <c r="E35" s="219" t="s">
        <v>1025</v>
      </c>
      <c r="F35" s="196" t="s">
        <v>248</v>
      </c>
      <c r="G35" s="196" t="s">
        <v>164</v>
      </c>
      <c r="H35">
        <f t="shared" si="5"/>
        <v>22</v>
      </c>
    </row>
    <row r="36" spans="1:8" x14ac:dyDescent="0.35">
      <c r="A36" s="196"/>
      <c r="B36" s="196"/>
      <c r="C36" s="222" t="str">
        <f t="shared" si="0"/>
        <v>105</v>
      </c>
      <c r="D36" s="196" t="s">
        <v>1015</v>
      </c>
      <c r="E36" s="219" t="s">
        <v>1026</v>
      </c>
      <c r="F36" s="196" t="s">
        <v>248</v>
      </c>
      <c r="G36" s="196" t="s">
        <v>164</v>
      </c>
      <c r="H36">
        <f t="shared" si="5"/>
        <v>19</v>
      </c>
    </row>
    <row r="37" spans="1:8" x14ac:dyDescent="0.35">
      <c r="A37" s="196"/>
      <c r="B37" s="196"/>
      <c r="C37" s="222" t="str">
        <f t="shared" si="0"/>
        <v>105</v>
      </c>
      <c r="D37" s="196" t="s">
        <v>1027</v>
      </c>
      <c r="E37" s="219" t="s">
        <v>1033</v>
      </c>
      <c r="F37" s="196" t="s">
        <v>248</v>
      </c>
      <c r="G37" s="196" t="s">
        <v>164</v>
      </c>
      <c r="H37">
        <f t="shared" ref="H37:H42" si="6">LEN(E37)</f>
        <v>19</v>
      </c>
    </row>
    <row r="38" spans="1:8" x14ac:dyDescent="0.35">
      <c r="A38" s="196"/>
      <c r="B38" s="196"/>
      <c r="C38" s="222" t="str">
        <f t="shared" si="0"/>
        <v>105</v>
      </c>
      <c r="D38" s="196" t="s">
        <v>1028</v>
      </c>
      <c r="E38" s="219" t="s">
        <v>1034</v>
      </c>
      <c r="F38" s="196" t="s">
        <v>248</v>
      </c>
      <c r="G38" s="196" t="s">
        <v>164</v>
      </c>
      <c r="H38">
        <f t="shared" si="6"/>
        <v>19</v>
      </c>
    </row>
    <row r="39" spans="1:8" x14ac:dyDescent="0.35">
      <c r="A39" s="196"/>
      <c r="B39" s="196"/>
      <c r="C39" s="222" t="str">
        <f t="shared" si="0"/>
        <v>105</v>
      </c>
      <c r="D39" s="196" t="s">
        <v>1029</v>
      </c>
      <c r="E39" s="219" t="s">
        <v>1035</v>
      </c>
      <c r="F39" s="196" t="s">
        <v>248</v>
      </c>
      <c r="G39" s="196" t="s">
        <v>164</v>
      </c>
      <c r="H39">
        <f t="shared" si="6"/>
        <v>19</v>
      </c>
    </row>
    <row r="40" spans="1:8" x14ac:dyDescent="0.35">
      <c r="A40" s="196"/>
      <c r="B40" s="196"/>
      <c r="C40" s="222" t="str">
        <f t="shared" si="0"/>
        <v>105</v>
      </c>
      <c r="D40" s="196" t="s">
        <v>1030</v>
      </c>
      <c r="E40" s="219" t="s">
        <v>1036</v>
      </c>
      <c r="F40" s="196" t="s">
        <v>248</v>
      </c>
      <c r="G40" s="196" t="s">
        <v>164</v>
      </c>
      <c r="H40">
        <f t="shared" si="6"/>
        <v>19</v>
      </c>
    </row>
    <row r="41" spans="1:8" x14ac:dyDescent="0.35">
      <c r="A41" s="196"/>
      <c r="B41" s="196"/>
      <c r="C41" s="222" t="str">
        <f t="shared" si="0"/>
        <v>105</v>
      </c>
      <c r="D41" s="196" t="s">
        <v>1031</v>
      </c>
      <c r="E41" s="219" t="s">
        <v>1037</v>
      </c>
      <c r="F41" s="196" t="s">
        <v>248</v>
      </c>
      <c r="G41" s="196" t="s">
        <v>164</v>
      </c>
      <c r="H41">
        <f t="shared" si="6"/>
        <v>19</v>
      </c>
    </row>
    <row r="42" spans="1:8" x14ac:dyDescent="0.35">
      <c r="A42" s="196"/>
      <c r="B42" s="196"/>
      <c r="C42" s="222" t="str">
        <f t="shared" si="0"/>
        <v>105</v>
      </c>
      <c r="D42" s="196" t="s">
        <v>1032</v>
      </c>
      <c r="E42" s="219" t="s">
        <v>1038</v>
      </c>
      <c r="F42" s="196" t="s">
        <v>248</v>
      </c>
      <c r="G42" s="196" t="s">
        <v>164</v>
      </c>
      <c r="H42">
        <f t="shared" si="6"/>
        <v>19</v>
      </c>
    </row>
    <row r="43" spans="1:8" x14ac:dyDescent="0.35">
      <c r="A43" s="196"/>
      <c r="B43" s="196"/>
      <c r="C43" s="222" t="str">
        <f>IF(B43="",C26,B43)</f>
        <v>105</v>
      </c>
      <c r="D43" s="196" t="s">
        <v>55</v>
      </c>
      <c r="E43" s="214" t="s">
        <v>265</v>
      </c>
      <c r="F43" s="196" t="s">
        <v>247</v>
      </c>
      <c r="G43" s="196" t="s">
        <v>217</v>
      </c>
      <c r="H43">
        <f t="shared" si="1"/>
        <v>11</v>
      </c>
    </row>
    <row r="44" spans="1:8" x14ac:dyDescent="0.35">
      <c r="A44" s="196"/>
      <c r="B44" s="196"/>
      <c r="C44" s="222" t="str">
        <f t="shared" si="0"/>
        <v>105</v>
      </c>
      <c r="D44" s="196" t="s">
        <v>266</v>
      </c>
      <c r="E44" s="219" t="s">
        <v>475</v>
      </c>
      <c r="F44" s="196" t="s">
        <v>248</v>
      </c>
      <c r="G44" s="196" t="s">
        <v>164</v>
      </c>
      <c r="H44">
        <f t="shared" si="1"/>
        <v>24</v>
      </c>
    </row>
    <row r="45" spans="1:8" x14ac:dyDescent="0.35">
      <c r="A45" s="196"/>
      <c r="B45" s="196"/>
      <c r="C45" s="222" t="str">
        <f t="shared" si="0"/>
        <v>105</v>
      </c>
      <c r="D45" s="196" t="s">
        <v>267</v>
      </c>
      <c r="E45" s="219" t="s">
        <v>476</v>
      </c>
      <c r="F45" s="196" t="s">
        <v>248</v>
      </c>
      <c r="G45" s="196" t="s">
        <v>164</v>
      </c>
      <c r="H45">
        <f t="shared" si="1"/>
        <v>24</v>
      </c>
    </row>
    <row r="46" spans="1:8" x14ac:dyDescent="0.35">
      <c r="A46" s="196"/>
      <c r="B46" s="196"/>
      <c r="C46" s="222" t="str">
        <f t="shared" si="0"/>
        <v>105</v>
      </c>
      <c r="D46" s="196" t="s">
        <v>268</v>
      </c>
      <c r="E46" s="219" t="s">
        <v>477</v>
      </c>
      <c r="F46" s="196" t="s">
        <v>248</v>
      </c>
      <c r="G46" s="196" t="s">
        <v>164</v>
      </c>
      <c r="H46">
        <f t="shared" si="1"/>
        <v>24</v>
      </c>
    </row>
    <row r="47" spans="1:8" x14ac:dyDescent="0.35">
      <c r="A47" s="196"/>
      <c r="B47" s="196"/>
      <c r="C47" s="222" t="str">
        <f t="shared" si="0"/>
        <v>105</v>
      </c>
      <c r="D47" s="196" t="s">
        <v>57</v>
      </c>
      <c r="E47" s="214" t="s">
        <v>269</v>
      </c>
      <c r="F47" s="196" t="s">
        <v>247</v>
      </c>
      <c r="G47" s="196" t="s">
        <v>217</v>
      </c>
      <c r="H47">
        <f t="shared" si="1"/>
        <v>10</v>
      </c>
    </row>
    <row r="48" spans="1:8" x14ac:dyDescent="0.35">
      <c r="A48" s="196"/>
      <c r="B48" s="196"/>
      <c r="C48" s="222" t="str">
        <f t="shared" si="0"/>
        <v>105</v>
      </c>
      <c r="D48" s="196" t="s">
        <v>270</v>
      </c>
      <c r="E48" s="219" t="s">
        <v>478</v>
      </c>
      <c r="F48" s="196" t="s">
        <v>248</v>
      </c>
      <c r="G48" s="196" t="s">
        <v>164</v>
      </c>
      <c r="H48">
        <f t="shared" si="1"/>
        <v>23</v>
      </c>
    </row>
    <row r="49" spans="1:8" x14ac:dyDescent="0.35">
      <c r="A49" s="196"/>
      <c r="B49" s="196"/>
      <c r="C49" s="222" t="str">
        <f t="shared" ref="C49:C51" si="7">IF(B49="",C48,B49)</f>
        <v>105</v>
      </c>
      <c r="D49" s="196" t="s">
        <v>741</v>
      </c>
      <c r="E49" s="219" t="s">
        <v>742</v>
      </c>
      <c r="F49" s="196" t="s">
        <v>248</v>
      </c>
      <c r="G49" s="196" t="s">
        <v>164</v>
      </c>
      <c r="H49">
        <f t="shared" ref="H49:H51" si="8">LEN(E49)</f>
        <v>19</v>
      </c>
    </row>
    <row r="50" spans="1:8" x14ac:dyDescent="0.35">
      <c r="A50" s="196"/>
      <c r="B50" s="196"/>
      <c r="C50" s="222" t="str">
        <f t="shared" si="7"/>
        <v>105</v>
      </c>
      <c r="D50" s="196" t="s">
        <v>59</v>
      </c>
      <c r="E50" s="214" t="s">
        <v>1043</v>
      </c>
      <c r="F50" s="196" t="s">
        <v>247</v>
      </c>
      <c r="G50" s="196" t="s">
        <v>217</v>
      </c>
      <c r="H50">
        <f t="shared" si="8"/>
        <v>11</v>
      </c>
    </row>
    <row r="51" spans="1:8" x14ac:dyDescent="0.35">
      <c r="A51" s="196"/>
      <c r="B51" s="196"/>
      <c r="C51" s="222" t="str">
        <f t="shared" si="7"/>
        <v>105</v>
      </c>
      <c r="D51" s="196" t="s">
        <v>1039</v>
      </c>
      <c r="E51" s="219" t="s">
        <v>1044</v>
      </c>
      <c r="F51" s="196" t="s">
        <v>248</v>
      </c>
      <c r="G51" s="196" t="s">
        <v>164</v>
      </c>
      <c r="H51">
        <f t="shared" si="8"/>
        <v>22</v>
      </c>
    </row>
    <row r="52" spans="1:8" x14ac:dyDescent="0.35">
      <c r="A52" s="196"/>
      <c r="B52" s="196"/>
      <c r="C52" s="222" t="str">
        <f t="shared" ref="C52:C53" si="9">IF(B52="",C51,B52)</f>
        <v>105</v>
      </c>
      <c r="D52" s="196" t="s">
        <v>229</v>
      </c>
      <c r="E52" s="214" t="s">
        <v>1040</v>
      </c>
      <c r="F52" s="196" t="s">
        <v>247</v>
      </c>
      <c r="G52" s="196" t="s">
        <v>217</v>
      </c>
      <c r="H52">
        <f t="shared" ref="H52:H53" si="10">LEN(E52)</f>
        <v>13</v>
      </c>
    </row>
    <row r="53" spans="1:8" x14ac:dyDescent="0.35">
      <c r="A53" s="196"/>
      <c r="B53" s="196"/>
      <c r="C53" s="222" t="str">
        <f t="shared" si="9"/>
        <v>105</v>
      </c>
      <c r="D53" s="196" t="s">
        <v>1042</v>
      </c>
      <c r="E53" s="219" t="s">
        <v>1041</v>
      </c>
      <c r="F53" s="196" t="s">
        <v>248</v>
      </c>
      <c r="G53" s="196" t="s">
        <v>164</v>
      </c>
      <c r="H53">
        <f t="shared" si="10"/>
        <v>27</v>
      </c>
    </row>
    <row r="54" spans="1:8" x14ac:dyDescent="0.35">
      <c r="A54" s="196"/>
      <c r="B54" s="196"/>
      <c r="C54" s="222" t="str">
        <f t="shared" ref="C54:C55" si="11">IF(B54="",C53,B54)</f>
        <v>105</v>
      </c>
      <c r="D54" s="196" t="s">
        <v>230</v>
      </c>
      <c r="E54" s="214" t="s">
        <v>1088</v>
      </c>
      <c r="F54" s="196" t="s">
        <v>247</v>
      </c>
      <c r="G54" s="196" t="s">
        <v>217</v>
      </c>
      <c r="H54">
        <f t="shared" ref="H54:H55" si="12">LEN(E54)</f>
        <v>26</v>
      </c>
    </row>
    <row r="55" spans="1:8" x14ac:dyDescent="0.35">
      <c r="A55" s="196"/>
      <c r="B55" s="196"/>
      <c r="C55" s="222" t="str">
        <f t="shared" si="11"/>
        <v>105</v>
      </c>
      <c r="D55" s="196" t="s">
        <v>1087</v>
      </c>
      <c r="E55" s="219" t="s">
        <v>1089</v>
      </c>
      <c r="F55" s="196" t="s">
        <v>248</v>
      </c>
      <c r="G55" s="196" t="s">
        <v>164</v>
      </c>
      <c r="H55">
        <f t="shared" si="12"/>
        <v>32</v>
      </c>
    </row>
    <row r="56" spans="1:8" x14ac:dyDescent="0.35">
      <c r="A56" s="196"/>
      <c r="B56" s="196"/>
      <c r="C56" s="222" t="str">
        <f t="shared" ref="C56" si="13">IF(B56="",C55,B56)</f>
        <v>105</v>
      </c>
      <c r="D56" s="196" t="s">
        <v>1094</v>
      </c>
      <c r="E56" s="219" t="s">
        <v>1095</v>
      </c>
      <c r="F56" s="196" t="s">
        <v>248</v>
      </c>
      <c r="G56" s="196" t="s">
        <v>164</v>
      </c>
      <c r="H56">
        <f t="shared" ref="H56" si="14">LEN(E56)</f>
        <v>32</v>
      </c>
    </row>
    <row r="57" spans="1:8" x14ac:dyDescent="0.35">
      <c r="A57" s="196"/>
      <c r="B57" s="196"/>
      <c r="C57" s="222" t="str">
        <f t="shared" ref="C57" si="15">IF(B57="",C56,B57)</f>
        <v>105</v>
      </c>
      <c r="D57" s="196" t="s">
        <v>1097</v>
      </c>
      <c r="E57" s="219" t="s">
        <v>1100</v>
      </c>
      <c r="F57" s="196" t="s">
        <v>248</v>
      </c>
      <c r="G57" s="196" t="s">
        <v>164</v>
      </c>
      <c r="H57">
        <f t="shared" ref="H57" si="16">LEN(E57)</f>
        <v>32</v>
      </c>
    </row>
    <row r="58" spans="1:8" x14ac:dyDescent="0.35">
      <c r="A58" s="196"/>
      <c r="B58" s="196"/>
      <c r="C58" s="222" t="str">
        <f t="shared" ref="C58:C60" si="17">IF(B58="",C57,B58)</f>
        <v>105</v>
      </c>
      <c r="D58" s="196" t="s">
        <v>1099</v>
      </c>
      <c r="E58" s="219" t="s">
        <v>1098</v>
      </c>
      <c r="F58" s="196" t="s">
        <v>248</v>
      </c>
      <c r="G58" s="196" t="s">
        <v>164</v>
      </c>
      <c r="H58">
        <f t="shared" ref="H58:H60" si="18">LEN(E58)</f>
        <v>32</v>
      </c>
    </row>
    <row r="59" spans="1:8" x14ac:dyDescent="0.35">
      <c r="A59" s="196"/>
      <c r="B59" s="196"/>
      <c r="C59" s="222" t="str">
        <f t="shared" si="17"/>
        <v>105</v>
      </c>
      <c r="D59" s="196" t="s">
        <v>231</v>
      </c>
      <c r="E59" s="214" t="s">
        <v>1111</v>
      </c>
      <c r="F59" s="196" t="s">
        <v>247</v>
      </c>
      <c r="G59" s="196" t="s">
        <v>217</v>
      </c>
      <c r="H59">
        <f t="shared" si="18"/>
        <v>15</v>
      </c>
    </row>
    <row r="60" spans="1:8" x14ac:dyDescent="0.35">
      <c r="A60" s="196"/>
      <c r="B60" s="196"/>
      <c r="C60" s="222" t="str">
        <f t="shared" si="17"/>
        <v>105</v>
      </c>
      <c r="D60" s="196" t="s">
        <v>785</v>
      </c>
      <c r="E60" s="219" t="s">
        <v>1112</v>
      </c>
      <c r="F60" s="196" t="s">
        <v>248</v>
      </c>
      <c r="G60" s="196" t="s">
        <v>164</v>
      </c>
      <c r="H60">
        <f t="shared" si="18"/>
        <v>21</v>
      </c>
    </row>
    <row r="61" spans="1:8" x14ac:dyDescent="0.35">
      <c r="A61" s="196"/>
      <c r="B61" s="196"/>
      <c r="C61" s="222" t="str">
        <f t="shared" ref="C61:C62" si="19">IF(B61="",C60,B61)</f>
        <v>105</v>
      </c>
      <c r="D61" s="196" t="s">
        <v>232</v>
      </c>
      <c r="E61" s="214" t="s">
        <v>1199</v>
      </c>
      <c r="F61" s="196" t="s">
        <v>247</v>
      </c>
      <c r="G61" s="196" t="s">
        <v>217</v>
      </c>
      <c r="H61">
        <f t="shared" ref="H61:H62" si="20">LEN(E61)</f>
        <v>14</v>
      </c>
    </row>
    <row r="62" spans="1:8" x14ac:dyDescent="0.35">
      <c r="A62" s="196"/>
      <c r="B62" s="196"/>
      <c r="C62" s="222" t="str">
        <f t="shared" si="19"/>
        <v>105</v>
      </c>
      <c r="D62" s="196" t="s">
        <v>1192</v>
      </c>
      <c r="E62" s="219" t="s">
        <v>1200</v>
      </c>
      <c r="F62" s="196" t="s">
        <v>248</v>
      </c>
      <c r="G62" s="196" t="s">
        <v>164</v>
      </c>
      <c r="H62">
        <f t="shared" si="20"/>
        <v>31</v>
      </c>
    </row>
    <row r="63" spans="1:8" x14ac:dyDescent="0.35">
      <c r="A63" s="196"/>
      <c r="B63" s="196"/>
      <c r="C63" s="223" t="str">
        <f t="shared" ref="C63" si="21">IF(B63="",C62,B63)</f>
        <v>105</v>
      </c>
      <c r="D63" s="224" t="s">
        <v>1201</v>
      </c>
      <c r="E63" s="258" t="s">
        <v>1202</v>
      </c>
      <c r="F63" s="224" t="s">
        <v>248</v>
      </c>
      <c r="G63" s="224" t="s">
        <v>164</v>
      </c>
      <c r="H63" s="16">
        <f t="shared" ref="H63" si="22">LEN(E63)</f>
        <v>31</v>
      </c>
    </row>
    <row r="64" spans="1:8" x14ac:dyDescent="0.35">
      <c r="A64" s="196"/>
      <c r="B64" s="196"/>
      <c r="C64" s="297" t="str">
        <f>IF(B64="",C62,B64)</f>
        <v>105</v>
      </c>
      <c r="D64" s="298" t="s">
        <v>233</v>
      </c>
      <c r="E64" s="299" t="s">
        <v>1193</v>
      </c>
      <c r="F64" s="298" t="s">
        <v>247</v>
      </c>
      <c r="G64" s="298" t="s">
        <v>217</v>
      </c>
      <c r="H64" s="300">
        <f t="shared" ref="H64:H65" si="23">LEN(E64)</f>
        <v>11</v>
      </c>
    </row>
    <row r="65" spans="1:8" x14ac:dyDescent="0.35">
      <c r="A65" s="196"/>
      <c r="B65" s="196"/>
      <c r="C65" s="297" t="str">
        <f t="shared" ref="C65" si="24">IF(B65="",C64,B65)</f>
        <v>105</v>
      </c>
      <c r="D65" s="298" t="s">
        <v>1198</v>
      </c>
      <c r="E65" s="301" t="s">
        <v>1195</v>
      </c>
      <c r="F65" s="298" t="s">
        <v>248</v>
      </c>
      <c r="G65" s="298" t="s">
        <v>164</v>
      </c>
      <c r="H65" s="300">
        <f t="shared" si="23"/>
        <v>29</v>
      </c>
    </row>
    <row r="66" spans="1:8" x14ac:dyDescent="0.35">
      <c r="A66" s="196"/>
      <c r="B66" s="196"/>
      <c r="C66" s="222" t="str">
        <f>IF(B66="",C48,B66)</f>
        <v>105</v>
      </c>
      <c r="D66" s="196" t="s">
        <v>221</v>
      </c>
      <c r="E66" s="208" t="s">
        <v>271</v>
      </c>
      <c r="F66" s="196" t="s">
        <v>219</v>
      </c>
      <c r="G66" s="196" t="s">
        <v>217</v>
      </c>
      <c r="H66">
        <f t="shared" si="1"/>
        <v>9</v>
      </c>
    </row>
    <row r="67" spans="1:8" x14ac:dyDescent="0.35">
      <c r="A67" s="196"/>
      <c r="B67" s="196"/>
      <c r="C67" s="222" t="str">
        <f t="shared" si="0"/>
        <v>105</v>
      </c>
      <c r="D67" s="196" t="s">
        <v>272</v>
      </c>
      <c r="E67" s="214" t="s">
        <v>273</v>
      </c>
      <c r="F67" s="196" t="s">
        <v>247</v>
      </c>
      <c r="G67" s="196" t="s">
        <v>217</v>
      </c>
      <c r="H67">
        <f t="shared" si="1"/>
        <v>8</v>
      </c>
    </row>
    <row r="68" spans="1:8" x14ac:dyDescent="0.35">
      <c r="A68" s="196"/>
      <c r="B68" s="196"/>
      <c r="C68" s="222" t="str">
        <f t="shared" si="0"/>
        <v>105</v>
      </c>
      <c r="D68" s="196" t="s">
        <v>274</v>
      </c>
      <c r="E68" s="219" t="s">
        <v>577</v>
      </c>
      <c r="F68" s="196" t="s">
        <v>248</v>
      </c>
      <c r="G68" s="196" t="s">
        <v>164</v>
      </c>
      <c r="H68">
        <f t="shared" si="1"/>
        <v>23</v>
      </c>
    </row>
    <row r="69" spans="1:8" x14ac:dyDescent="0.35">
      <c r="A69" s="196"/>
      <c r="B69" s="196"/>
      <c r="C69" s="222" t="str">
        <f t="shared" ref="C69:C74" si="25">IF(B69="",C68,B69)</f>
        <v>105</v>
      </c>
      <c r="D69" s="196" t="s">
        <v>443</v>
      </c>
      <c r="E69" s="219" t="s">
        <v>875</v>
      </c>
      <c r="F69" s="196" t="s">
        <v>248</v>
      </c>
      <c r="G69" s="196" t="s">
        <v>164</v>
      </c>
      <c r="H69">
        <f t="shared" ref="H69" si="26">LEN(E69)</f>
        <v>22</v>
      </c>
    </row>
    <row r="70" spans="1:8" x14ac:dyDescent="0.35">
      <c r="A70" s="196"/>
      <c r="B70" s="196"/>
      <c r="C70" s="222" t="str">
        <f t="shared" si="25"/>
        <v>105</v>
      </c>
      <c r="D70" s="196" t="s">
        <v>1139</v>
      </c>
      <c r="E70" s="219" t="s">
        <v>1149</v>
      </c>
      <c r="F70" s="196" t="s">
        <v>248</v>
      </c>
      <c r="G70" s="196" t="s">
        <v>164</v>
      </c>
      <c r="H70">
        <f t="shared" ref="H70:H74" si="27">LEN(E70)</f>
        <v>21</v>
      </c>
    </row>
    <row r="71" spans="1:8" x14ac:dyDescent="0.35">
      <c r="A71" s="196"/>
      <c r="B71" s="196"/>
      <c r="C71" s="222" t="str">
        <f t="shared" si="25"/>
        <v>105</v>
      </c>
      <c r="D71" s="196" t="s">
        <v>1145</v>
      </c>
      <c r="E71" s="219" t="s">
        <v>1150</v>
      </c>
      <c r="F71" s="196" t="s">
        <v>248</v>
      </c>
      <c r="G71" s="196" t="s">
        <v>164</v>
      </c>
      <c r="H71">
        <f t="shared" si="27"/>
        <v>19</v>
      </c>
    </row>
    <row r="72" spans="1:8" x14ac:dyDescent="0.35">
      <c r="A72" s="196"/>
      <c r="B72" s="196"/>
      <c r="C72" s="222" t="str">
        <f t="shared" si="25"/>
        <v>105</v>
      </c>
      <c r="D72" s="196" t="s">
        <v>1146</v>
      </c>
      <c r="E72" s="219" t="s">
        <v>1151</v>
      </c>
      <c r="F72" s="196" t="s">
        <v>248</v>
      </c>
      <c r="G72" s="196" t="s">
        <v>164</v>
      </c>
      <c r="H72">
        <f t="shared" si="27"/>
        <v>19</v>
      </c>
    </row>
    <row r="73" spans="1:8" x14ac:dyDescent="0.35">
      <c r="A73" s="196"/>
      <c r="B73" s="196"/>
      <c r="C73" s="222" t="str">
        <f t="shared" si="25"/>
        <v>105</v>
      </c>
      <c r="D73" s="196" t="s">
        <v>1147</v>
      </c>
      <c r="E73" s="219" t="s">
        <v>1152</v>
      </c>
      <c r="F73" s="196" t="s">
        <v>248</v>
      </c>
      <c r="G73" s="196" t="s">
        <v>164</v>
      </c>
      <c r="H73">
        <f t="shared" si="27"/>
        <v>19</v>
      </c>
    </row>
    <row r="74" spans="1:8" x14ac:dyDescent="0.35">
      <c r="A74" s="196"/>
      <c r="B74" s="196"/>
      <c r="C74" s="222" t="str">
        <f t="shared" si="25"/>
        <v>105</v>
      </c>
      <c r="D74" s="196" t="s">
        <v>1148</v>
      </c>
      <c r="E74" s="219" t="s">
        <v>1153</v>
      </c>
      <c r="F74" s="196" t="s">
        <v>248</v>
      </c>
      <c r="G74" s="196" t="s">
        <v>164</v>
      </c>
      <c r="H74">
        <f t="shared" si="27"/>
        <v>19</v>
      </c>
    </row>
    <row r="75" spans="1:8" x14ac:dyDescent="0.35">
      <c r="A75" s="196"/>
      <c r="B75" s="196"/>
      <c r="C75" s="222" t="str">
        <f t="shared" ref="C75" si="28">IF(B75="",C69,B75)</f>
        <v>105</v>
      </c>
      <c r="D75" s="196" t="s">
        <v>1144</v>
      </c>
      <c r="E75" s="219" t="s">
        <v>1140</v>
      </c>
      <c r="F75" s="196" t="s">
        <v>248</v>
      </c>
      <c r="G75" s="196" t="s">
        <v>164</v>
      </c>
      <c r="H75">
        <f t="shared" ref="H75" si="29">LEN(E75)</f>
        <v>31</v>
      </c>
    </row>
    <row r="76" spans="1:8" x14ac:dyDescent="0.35">
      <c r="A76" s="196"/>
      <c r="B76" s="196"/>
      <c r="C76" s="222" t="str">
        <f>IF(B76="",C68,B76)</f>
        <v>105</v>
      </c>
      <c r="D76" s="196" t="s">
        <v>275</v>
      </c>
      <c r="E76" s="214" t="s">
        <v>276</v>
      </c>
      <c r="F76" s="196" t="s">
        <v>247</v>
      </c>
      <c r="G76" s="196" t="s">
        <v>217</v>
      </c>
      <c r="H76">
        <f t="shared" si="1"/>
        <v>12</v>
      </c>
    </row>
    <row r="77" spans="1:8" x14ac:dyDescent="0.35">
      <c r="A77" s="196"/>
      <c r="B77" s="196"/>
      <c r="C77" s="222" t="str">
        <f t="shared" si="0"/>
        <v>105</v>
      </c>
      <c r="D77" s="196" t="s">
        <v>277</v>
      </c>
      <c r="E77" s="219" t="s">
        <v>578</v>
      </c>
      <c r="F77" s="196" t="s">
        <v>248</v>
      </c>
      <c r="G77" s="196" t="s">
        <v>164</v>
      </c>
      <c r="H77">
        <f t="shared" si="1"/>
        <v>27</v>
      </c>
    </row>
    <row r="78" spans="1:8" x14ac:dyDescent="0.35">
      <c r="A78" s="196"/>
      <c r="B78" s="196"/>
      <c r="C78" s="222" t="str">
        <f t="shared" ref="C78" si="30">IF(B78="",C77,B78)</f>
        <v>105</v>
      </c>
      <c r="D78" s="196" t="s">
        <v>445</v>
      </c>
      <c r="E78" s="219" t="s">
        <v>854</v>
      </c>
      <c r="F78" s="196" t="s">
        <v>248</v>
      </c>
      <c r="G78" s="196" t="s">
        <v>164</v>
      </c>
      <c r="H78">
        <f t="shared" ref="H78" si="31">LEN(E78)</f>
        <v>27</v>
      </c>
    </row>
    <row r="79" spans="1:8" x14ac:dyDescent="0.35">
      <c r="A79" s="196"/>
      <c r="B79" s="196"/>
      <c r="C79" s="222" t="str">
        <f>IF(B78="",C77,B78)</f>
        <v>105</v>
      </c>
      <c r="D79" s="196" t="s">
        <v>278</v>
      </c>
      <c r="E79" s="214" t="s">
        <v>279</v>
      </c>
      <c r="F79" s="196" t="s">
        <v>247</v>
      </c>
      <c r="G79" s="196" t="s">
        <v>217</v>
      </c>
      <c r="H79">
        <f t="shared" si="1"/>
        <v>11</v>
      </c>
    </row>
    <row r="80" spans="1:8" x14ac:dyDescent="0.35">
      <c r="A80" s="196"/>
      <c r="B80" s="196"/>
      <c r="C80" s="222" t="str">
        <f t="shared" ref="C80:C81" si="32">IF(B79="",C79,B79)</f>
        <v>105</v>
      </c>
      <c r="D80" s="196" t="s">
        <v>280</v>
      </c>
      <c r="E80" s="219" t="s">
        <v>579</v>
      </c>
      <c r="F80" s="196" t="s">
        <v>248</v>
      </c>
      <c r="G80" s="196" t="s">
        <v>164</v>
      </c>
      <c r="H80">
        <f t="shared" si="1"/>
        <v>26</v>
      </c>
    </row>
    <row r="81" spans="1:8" x14ac:dyDescent="0.35">
      <c r="A81" s="196"/>
      <c r="B81" s="196"/>
      <c r="C81" s="222" t="str">
        <f t="shared" si="32"/>
        <v>105</v>
      </c>
      <c r="D81" s="196" t="s">
        <v>281</v>
      </c>
      <c r="E81" s="214" t="s">
        <v>282</v>
      </c>
      <c r="F81" s="196" t="s">
        <v>247</v>
      </c>
      <c r="G81" s="196" t="s">
        <v>217</v>
      </c>
      <c r="H81">
        <f t="shared" si="1"/>
        <v>12</v>
      </c>
    </row>
    <row r="82" spans="1:8" x14ac:dyDescent="0.35">
      <c r="A82" s="196"/>
      <c r="B82" s="196"/>
      <c r="C82" s="222" t="str">
        <f t="shared" ref="C82:C104" si="33">IF(B82="",C81,B82)</f>
        <v>105</v>
      </c>
      <c r="D82" s="196" t="s">
        <v>283</v>
      </c>
      <c r="E82" s="219" t="s">
        <v>580</v>
      </c>
      <c r="F82" s="196" t="s">
        <v>248</v>
      </c>
      <c r="G82" s="196" t="s">
        <v>164</v>
      </c>
      <c r="H82">
        <f t="shared" si="1"/>
        <v>25</v>
      </c>
    </row>
    <row r="83" spans="1:8" x14ac:dyDescent="0.35">
      <c r="A83" s="196"/>
      <c r="B83" s="196"/>
      <c r="C83" s="222" t="str">
        <f t="shared" ref="C83" si="34">IF(B82="",C82,B82)</f>
        <v>105</v>
      </c>
      <c r="D83" s="196" t="s">
        <v>298</v>
      </c>
      <c r="E83" s="214" t="s">
        <v>1103</v>
      </c>
      <c r="F83" s="196" t="s">
        <v>247</v>
      </c>
      <c r="G83" s="196" t="s">
        <v>217</v>
      </c>
      <c r="H83">
        <f t="shared" ref="H83:H84" si="35">LEN(E83)</f>
        <v>27</v>
      </c>
    </row>
    <row r="84" spans="1:8" x14ac:dyDescent="0.35">
      <c r="A84" s="196"/>
      <c r="B84" s="196"/>
      <c r="C84" s="222" t="str">
        <f t="shared" ref="C84" si="36">IF(B84="",C83,B84)</f>
        <v>105</v>
      </c>
      <c r="D84" s="196" t="s">
        <v>1102</v>
      </c>
      <c r="E84" s="219" t="s">
        <v>1104</v>
      </c>
      <c r="F84" s="196" t="s">
        <v>248</v>
      </c>
      <c r="G84" s="196" t="s">
        <v>164</v>
      </c>
      <c r="H84">
        <f t="shared" si="35"/>
        <v>18</v>
      </c>
    </row>
    <row r="85" spans="1:8" x14ac:dyDescent="0.35">
      <c r="A85" s="196"/>
      <c r="B85" s="196"/>
      <c r="C85" s="222" t="str">
        <f t="shared" ref="C85" si="37">IF(B84="",C84,B84)</f>
        <v>105</v>
      </c>
      <c r="D85" s="196" t="s">
        <v>299</v>
      </c>
      <c r="E85" s="214" t="s">
        <v>1106</v>
      </c>
      <c r="F85" s="196" t="s">
        <v>247</v>
      </c>
      <c r="G85" s="196" t="s">
        <v>217</v>
      </c>
      <c r="H85">
        <f t="shared" ref="H85:H88" si="38">LEN(E85)</f>
        <v>15</v>
      </c>
    </row>
    <row r="86" spans="1:8" x14ac:dyDescent="0.35">
      <c r="A86" s="196"/>
      <c r="B86" s="196"/>
      <c r="C86" s="222" t="str">
        <f t="shared" ref="C86" si="39">IF(B86="",C85,B86)</f>
        <v>105</v>
      </c>
      <c r="D86" s="196" t="s">
        <v>1105</v>
      </c>
      <c r="E86" s="219" t="s">
        <v>1107</v>
      </c>
      <c r="F86" s="196" t="s">
        <v>248</v>
      </c>
      <c r="G86" s="196" t="s">
        <v>164</v>
      </c>
      <c r="H86">
        <f t="shared" si="38"/>
        <v>21</v>
      </c>
    </row>
    <row r="87" spans="1:8" x14ac:dyDescent="0.35">
      <c r="A87" s="196"/>
      <c r="B87" s="196"/>
      <c r="C87" s="222" t="str">
        <f t="shared" ref="C87" si="40">IF(B86="",C86,B86)</f>
        <v>105</v>
      </c>
      <c r="D87" s="196" t="s">
        <v>300</v>
      </c>
      <c r="E87" s="214" t="s">
        <v>1142</v>
      </c>
      <c r="F87" s="196" t="s">
        <v>247</v>
      </c>
      <c r="G87" s="196" t="s">
        <v>217</v>
      </c>
      <c r="H87">
        <f t="shared" si="38"/>
        <v>12</v>
      </c>
    </row>
    <row r="88" spans="1:8" x14ac:dyDescent="0.35">
      <c r="A88" s="196"/>
      <c r="B88" s="196"/>
      <c r="C88" s="222" t="str">
        <f t="shared" ref="C88" si="41">IF(B88="",C87,B88)</f>
        <v>105</v>
      </c>
      <c r="D88" s="196" t="s">
        <v>1141</v>
      </c>
      <c r="E88" s="219" t="s">
        <v>1143</v>
      </c>
      <c r="F88" s="196" t="s">
        <v>248</v>
      </c>
      <c r="G88" s="196" t="s">
        <v>164</v>
      </c>
      <c r="H88">
        <f t="shared" si="38"/>
        <v>31</v>
      </c>
    </row>
    <row r="89" spans="1:8" x14ac:dyDescent="0.35">
      <c r="A89" s="196"/>
      <c r="B89" s="196"/>
      <c r="C89" s="222" t="str">
        <f t="shared" ref="C89" si="42">IF(B88="",C88,B88)</f>
        <v>105</v>
      </c>
      <c r="D89" s="196" t="s">
        <v>301</v>
      </c>
      <c r="E89" s="214" t="s">
        <v>1158</v>
      </c>
      <c r="F89" s="196" t="s">
        <v>247</v>
      </c>
      <c r="G89" s="196" t="s">
        <v>217</v>
      </c>
      <c r="H89">
        <f t="shared" ref="H89:H90" si="43">LEN(E89)</f>
        <v>14</v>
      </c>
    </row>
    <row r="90" spans="1:8" x14ac:dyDescent="0.35">
      <c r="A90" s="196"/>
      <c r="B90" s="196"/>
      <c r="C90" s="222" t="str">
        <f t="shared" ref="C90" si="44">IF(B90="",C89,B90)</f>
        <v>105</v>
      </c>
      <c r="D90" s="196" t="s">
        <v>1157</v>
      </c>
      <c r="E90" s="219" t="s">
        <v>1159</v>
      </c>
      <c r="F90" s="196" t="s">
        <v>248</v>
      </c>
      <c r="G90" s="196" t="s">
        <v>164</v>
      </c>
      <c r="H90">
        <f t="shared" si="43"/>
        <v>31</v>
      </c>
    </row>
    <row r="91" spans="1:8" x14ac:dyDescent="0.35">
      <c r="A91" s="196"/>
      <c r="B91" s="196"/>
      <c r="C91" s="222" t="str">
        <f t="shared" ref="C91" si="45">IF(B91="",C90,B91)</f>
        <v>105</v>
      </c>
      <c r="D91" s="196" t="s">
        <v>1163</v>
      </c>
      <c r="E91" s="219" t="s">
        <v>1164</v>
      </c>
      <c r="F91" s="196" t="s">
        <v>248</v>
      </c>
      <c r="G91" s="196" t="s">
        <v>164</v>
      </c>
      <c r="H91">
        <f t="shared" ref="H91:H93" si="46">LEN(E91)</f>
        <v>31</v>
      </c>
    </row>
    <row r="92" spans="1:8" x14ac:dyDescent="0.35">
      <c r="A92" s="196"/>
      <c r="B92" s="196"/>
      <c r="C92" s="223" t="str">
        <f t="shared" ref="C92" si="47">IF(B91="",C91,B91)</f>
        <v>105</v>
      </c>
      <c r="D92" s="224" t="s">
        <v>414</v>
      </c>
      <c r="E92" s="275" t="s">
        <v>1194</v>
      </c>
      <c r="F92" s="224" t="s">
        <v>247</v>
      </c>
      <c r="G92" s="224" t="s">
        <v>217</v>
      </c>
      <c r="H92" s="16">
        <f t="shared" si="46"/>
        <v>12</v>
      </c>
    </row>
    <row r="93" spans="1:8" x14ac:dyDescent="0.35">
      <c r="A93" s="196"/>
      <c r="B93" s="196"/>
      <c r="C93" s="223" t="str">
        <f t="shared" ref="C93" si="48">IF(B93="",C92,B93)</f>
        <v>105</v>
      </c>
      <c r="D93" s="224" t="s">
        <v>1197</v>
      </c>
      <c r="E93" s="258" t="s">
        <v>1196</v>
      </c>
      <c r="F93" s="224" t="s">
        <v>248</v>
      </c>
      <c r="G93" s="224" t="s">
        <v>164</v>
      </c>
      <c r="H93" s="16">
        <f t="shared" si="46"/>
        <v>29</v>
      </c>
    </row>
    <row r="94" spans="1:8" x14ac:dyDescent="0.35">
      <c r="A94" s="196"/>
      <c r="B94" s="196"/>
      <c r="C94" s="222" t="str">
        <f>IF(B94="",C81,B94)</f>
        <v>105</v>
      </c>
      <c r="D94" s="196" t="s">
        <v>222</v>
      </c>
      <c r="E94" s="208" t="s">
        <v>927</v>
      </c>
      <c r="F94" s="196" t="s">
        <v>219</v>
      </c>
      <c r="G94" s="196" t="s">
        <v>217</v>
      </c>
      <c r="H94">
        <f t="shared" si="1"/>
        <v>10</v>
      </c>
    </row>
    <row r="95" spans="1:8" x14ac:dyDescent="0.35">
      <c r="A95" s="196"/>
      <c r="B95" s="196"/>
      <c r="C95" s="222" t="str">
        <f t="shared" ref="C95" si="49">IF(B95="",C94,B95)</f>
        <v>105</v>
      </c>
      <c r="D95" s="196" t="s">
        <v>303</v>
      </c>
      <c r="E95" s="214" t="s">
        <v>928</v>
      </c>
      <c r="F95" s="196" t="s">
        <v>247</v>
      </c>
      <c r="G95" s="196" t="s">
        <v>217</v>
      </c>
      <c r="H95">
        <f t="shared" si="1"/>
        <v>15</v>
      </c>
    </row>
    <row r="96" spans="1:8" x14ac:dyDescent="0.35">
      <c r="A96" s="196"/>
      <c r="B96" s="196"/>
      <c r="C96" s="222" t="str">
        <f>IF(B96="",C95,B96)</f>
        <v>105</v>
      </c>
      <c r="D96" s="196" t="s">
        <v>813</v>
      </c>
      <c r="E96" s="219" t="s">
        <v>929</v>
      </c>
      <c r="F96" s="196" t="s">
        <v>248</v>
      </c>
      <c r="G96" s="196" t="s">
        <v>164</v>
      </c>
      <c r="H96">
        <f t="shared" si="1"/>
        <v>32</v>
      </c>
    </row>
    <row r="97" spans="1:10" x14ac:dyDescent="0.35">
      <c r="A97" s="196"/>
      <c r="B97" s="196"/>
      <c r="C97" s="222" t="str">
        <f>IF(B97="",C96,B97)</f>
        <v>105</v>
      </c>
      <c r="D97" s="196" t="s">
        <v>814</v>
      </c>
      <c r="E97" s="219" t="s">
        <v>1045</v>
      </c>
      <c r="F97" s="196" t="s">
        <v>248</v>
      </c>
      <c r="G97" s="196" t="s">
        <v>164</v>
      </c>
      <c r="H97">
        <f t="shared" ref="H97:H99" si="50">LEN(E97)</f>
        <v>25</v>
      </c>
    </row>
    <row r="98" spans="1:10" x14ac:dyDescent="0.35">
      <c r="A98" s="196"/>
      <c r="B98" s="196"/>
      <c r="C98" s="222" t="str">
        <f t="shared" ref="C98" si="51">IF(B98="",C97,B98)</f>
        <v>105</v>
      </c>
      <c r="D98" s="196" t="s">
        <v>304</v>
      </c>
      <c r="E98" s="214" t="s">
        <v>1109</v>
      </c>
      <c r="F98" s="196" t="s">
        <v>247</v>
      </c>
      <c r="G98" s="196" t="s">
        <v>217</v>
      </c>
      <c r="H98">
        <f t="shared" si="50"/>
        <v>16</v>
      </c>
    </row>
    <row r="99" spans="1:10" x14ac:dyDescent="0.35">
      <c r="A99" s="196"/>
      <c r="B99" s="196"/>
      <c r="C99" s="222" t="str">
        <f>IF(B99="",C98,B99)</f>
        <v>105</v>
      </c>
      <c r="D99" s="196" t="s">
        <v>1108</v>
      </c>
      <c r="E99" s="219" t="s">
        <v>1110</v>
      </c>
      <c r="F99" s="196" t="s">
        <v>248</v>
      </c>
      <c r="G99" s="196" t="s">
        <v>164</v>
      </c>
      <c r="H99">
        <f t="shared" si="50"/>
        <v>22</v>
      </c>
    </row>
    <row r="100" spans="1:10" x14ac:dyDescent="0.35">
      <c r="A100" s="196" t="s">
        <v>250</v>
      </c>
      <c r="B100" s="196" t="s">
        <v>284</v>
      </c>
      <c r="C100" s="222" t="str">
        <f>IF(B100="",C82,B100)</f>
        <v>115</v>
      </c>
      <c r="D100" s="196"/>
      <c r="E100" s="205" t="s">
        <v>285</v>
      </c>
      <c r="F100" s="196" t="s">
        <v>216</v>
      </c>
      <c r="G100" s="196" t="s">
        <v>217</v>
      </c>
      <c r="H100">
        <f t="shared" si="1"/>
        <v>8</v>
      </c>
      <c r="J100" s="1" t="s">
        <v>768</v>
      </c>
    </row>
    <row r="101" spans="1:10" x14ac:dyDescent="0.35">
      <c r="A101" s="196"/>
      <c r="B101" s="196"/>
      <c r="C101" s="222" t="str">
        <f t="shared" si="33"/>
        <v>115</v>
      </c>
      <c r="D101" s="196" t="s">
        <v>218</v>
      </c>
      <c r="E101" s="209" t="s">
        <v>762</v>
      </c>
      <c r="F101" s="196" t="s">
        <v>219</v>
      </c>
      <c r="G101" s="196" t="s">
        <v>292</v>
      </c>
      <c r="H101">
        <f t="shared" si="1"/>
        <v>12</v>
      </c>
      <c r="J101" s="1" t="s">
        <v>768</v>
      </c>
    </row>
    <row r="102" spans="1:10" ht="13.5" customHeight="1" x14ac:dyDescent="0.35">
      <c r="A102" s="196"/>
      <c r="B102" s="196"/>
      <c r="C102" s="222" t="str">
        <f t="shared" si="33"/>
        <v>115</v>
      </c>
      <c r="D102" s="196" t="s">
        <v>221</v>
      </c>
      <c r="E102" s="209" t="s">
        <v>763</v>
      </c>
      <c r="F102" s="196" t="s">
        <v>219</v>
      </c>
      <c r="G102" s="196" t="s">
        <v>292</v>
      </c>
      <c r="H102">
        <f t="shared" si="1"/>
        <v>12</v>
      </c>
    </row>
    <row r="103" spans="1:10" x14ac:dyDescent="0.35">
      <c r="A103" s="196"/>
      <c r="B103" s="196"/>
      <c r="C103" s="222" t="str">
        <f t="shared" si="33"/>
        <v>115</v>
      </c>
      <c r="D103" s="196" t="s">
        <v>222</v>
      </c>
      <c r="E103" s="209" t="s">
        <v>817</v>
      </c>
      <c r="F103" s="196" t="s">
        <v>219</v>
      </c>
      <c r="G103" s="196" t="s">
        <v>292</v>
      </c>
      <c r="H103">
        <f t="shared" ref="H103" si="52">LEN(E103)</f>
        <v>19</v>
      </c>
    </row>
    <row r="104" spans="1:10" x14ac:dyDescent="0.35">
      <c r="A104" s="196"/>
      <c r="B104" s="196"/>
      <c r="C104" s="222" t="str">
        <f t="shared" si="33"/>
        <v>115</v>
      </c>
      <c r="D104" s="196" t="s">
        <v>880</v>
      </c>
      <c r="E104" s="209" t="s">
        <v>881</v>
      </c>
      <c r="F104" s="196" t="s">
        <v>219</v>
      </c>
      <c r="G104" s="196" t="s">
        <v>292</v>
      </c>
      <c r="H104">
        <f t="shared" ref="H104" si="53">LEN(E104)</f>
        <v>21</v>
      </c>
    </row>
    <row r="105" spans="1:10" x14ac:dyDescent="0.35">
      <c r="A105" s="196"/>
      <c r="B105" s="196"/>
      <c r="C105" s="222" t="str">
        <f>IF(B105="",C102,B105)</f>
        <v>115</v>
      </c>
      <c r="D105" s="196" t="s">
        <v>286</v>
      </c>
      <c r="E105" s="208" t="s">
        <v>781</v>
      </c>
      <c r="F105" s="196" t="s">
        <v>219</v>
      </c>
      <c r="G105" s="196" t="s">
        <v>217</v>
      </c>
      <c r="H105">
        <f t="shared" si="1"/>
        <v>16</v>
      </c>
    </row>
    <row r="106" spans="1:10" x14ac:dyDescent="0.35">
      <c r="A106" s="196"/>
      <c r="B106" s="196"/>
      <c r="C106" s="222" t="str">
        <f>IF(B106="",C101,B106)</f>
        <v>115</v>
      </c>
      <c r="D106" s="196" t="s">
        <v>329</v>
      </c>
      <c r="E106" s="209" t="s">
        <v>764</v>
      </c>
      <c r="F106" s="196" t="s">
        <v>247</v>
      </c>
      <c r="G106" s="196" t="s">
        <v>164</v>
      </c>
      <c r="H106">
        <f t="shared" ref="H106" si="54">LEN(E106)</f>
        <v>20</v>
      </c>
    </row>
    <row r="107" spans="1:10" x14ac:dyDescent="0.35">
      <c r="A107" s="196"/>
      <c r="B107" s="196"/>
      <c r="C107" s="222" t="str">
        <f>IF(B107="",C102,B107)</f>
        <v>115</v>
      </c>
      <c r="D107" s="196" t="s">
        <v>330</v>
      </c>
      <c r="E107" s="209" t="s">
        <v>765</v>
      </c>
      <c r="F107" s="196" t="s">
        <v>247</v>
      </c>
      <c r="G107" s="196" t="s">
        <v>164</v>
      </c>
      <c r="H107">
        <f t="shared" si="1"/>
        <v>20</v>
      </c>
    </row>
    <row r="108" spans="1:10" x14ac:dyDescent="0.35">
      <c r="A108" s="196"/>
      <c r="B108" s="196"/>
      <c r="C108" s="222" t="str">
        <f>IF(B108="",C103,B108)</f>
        <v>115</v>
      </c>
      <c r="D108" s="196" t="s">
        <v>331</v>
      </c>
      <c r="E108" s="209" t="s">
        <v>766</v>
      </c>
      <c r="F108" s="196" t="s">
        <v>247</v>
      </c>
      <c r="G108" s="196" t="s">
        <v>164</v>
      </c>
      <c r="H108">
        <f t="shared" ref="H108" si="55">LEN(E108)</f>
        <v>26</v>
      </c>
    </row>
    <row r="109" spans="1:10" x14ac:dyDescent="0.35">
      <c r="A109" s="196" t="s">
        <v>250</v>
      </c>
      <c r="B109" s="196" t="s">
        <v>287</v>
      </c>
      <c r="C109" s="222" t="str">
        <f>IF(B109="",C105,B109)</f>
        <v>120</v>
      </c>
      <c r="D109" s="196"/>
      <c r="E109" s="205" t="s">
        <v>288</v>
      </c>
      <c r="F109" s="196" t="s">
        <v>216</v>
      </c>
      <c r="G109" s="196" t="s">
        <v>217</v>
      </c>
      <c r="H109">
        <f t="shared" si="1"/>
        <v>26</v>
      </c>
      <c r="J109" s="1" t="s">
        <v>768</v>
      </c>
    </row>
    <row r="110" spans="1:10" x14ac:dyDescent="0.35">
      <c r="A110" s="196"/>
      <c r="B110" s="196"/>
      <c r="C110" s="222" t="str">
        <f t="shared" ref="C110:C119" si="56">IF(B110="",C109,B110)</f>
        <v>120</v>
      </c>
      <c r="D110" s="196" t="s">
        <v>218</v>
      </c>
      <c r="E110" s="209" t="s">
        <v>767</v>
      </c>
      <c r="F110" s="196" t="s">
        <v>219</v>
      </c>
      <c r="G110" s="196" t="s">
        <v>164</v>
      </c>
      <c r="H110">
        <f t="shared" si="1"/>
        <v>23</v>
      </c>
      <c r="J110" s="1" t="s">
        <v>768</v>
      </c>
    </row>
    <row r="111" spans="1:10" x14ac:dyDescent="0.35">
      <c r="A111" s="196"/>
      <c r="B111" s="196"/>
      <c r="C111" s="222" t="str">
        <f t="shared" si="56"/>
        <v>120</v>
      </c>
      <c r="D111" s="196" t="s">
        <v>221</v>
      </c>
      <c r="E111" s="209" t="s">
        <v>769</v>
      </c>
      <c r="F111" s="196" t="s">
        <v>219</v>
      </c>
      <c r="G111" s="196" t="s">
        <v>164</v>
      </c>
      <c r="H111">
        <f t="shared" si="1"/>
        <v>23</v>
      </c>
    </row>
    <row r="112" spans="1:10" x14ac:dyDescent="0.35">
      <c r="A112" s="196"/>
      <c r="B112" s="196"/>
      <c r="C112" s="222" t="str">
        <f t="shared" si="56"/>
        <v>120</v>
      </c>
      <c r="D112" s="196" t="s">
        <v>286</v>
      </c>
      <c r="E112" s="209" t="s">
        <v>585</v>
      </c>
      <c r="F112" s="196" t="s">
        <v>219</v>
      </c>
      <c r="G112" s="196" t="s">
        <v>164</v>
      </c>
      <c r="H112">
        <f t="shared" si="1"/>
        <v>16</v>
      </c>
    </row>
    <row r="113" spans="1:14" x14ac:dyDescent="0.35">
      <c r="A113" s="196" t="s">
        <v>250</v>
      </c>
      <c r="B113" s="196" t="s">
        <v>289</v>
      </c>
      <c r="C113" s="222" t="str">
        <f t="shared" si="56"/>
        <v>125</v>
      </c>
      <c r="D113" s="196"/>
      <c r="E113" s="205" t="s">
        <v>290</v>
      </c>
      <c r="F113" s="196" t="s">
        <v>216</v>
      </c>
      <c r="G113" s="196" t="s">
        <v>217</v>
      </c>
      <c r="H113">
        <f t="shared" si="1"/>
        <v>17</v>
      </c>
    </row>
    <row r="114" spans="1:14" x14ac:dyDescent="0.35">
      <c r="A114" s="196"/>
      <c r="B114" s="196"/>
      <c r="C114" s="222" t="str">
        <f t="shared" si="56"/>
        <v>125</v>
      </c>
      <c r="D114" s="196" t="s">
        <v>218</v>
      </c>
      <c r="E114" s="208" t="s">
        <v>291</v>
      </c>
      <c r="F114" s="196" t="s">
        <v>219</v>
      </c>
      <c r="G114" s="196" t="s">
        <v>217</v>
      </c>
      <c r="H114">
        <f t="shared" si="1"/>
        <v>24</v>
      </c>
    </row>
    <row r="115" spans="1:14" x14ac:dyDescent="0.35">
      <c r="A115" s="196"/>
      <c r="B115" s="196"/>
      <c r="C115" s="222" t="str">
        <f t="shared" si="56"/>
        <v>125</v>
      </c>
      <c r="D115" s="196" t="s">
        <v>53</v>
      </c>
      <c r="E115" s="213" t="s">
        <v>582</v>
      </c>
      <c r="F115" s="196" t="s">
        <v>247</v>
      </c>
      <c r="G115" s="196" t="s">
        <v>292</v>
      </c>
      <c r="H115">
        <f t="shared" si="1"/>
        <v>23</v>
      </c>
    </row>
    <row r="116" spans="1:14" x14ac:dyDescent="0.35">
      <c r="A116" s="196"/>
      <c r="B116" s="196"/>
      <c r="C116" s="222" t="str">
        <f t="shared" ref="C116" si="57">IF(B116="",C115,B116)</f>
        <v>125</v>
      </c>
      <c r="D116" s="196" t="s">
        <v>55</v>
      </c>
      <c r="E116" s="213" t="s">
        <v>1165</v>
      </c>
      <c r="F116" s="196" t="s">
        <v>247</v>
      </c>
      <c r="G116" s="196" t="s">
        <v>164</v>
      </c>
      <c r="H116">
        <f t="shared" ref="H116" si="58">LEN(E116)</f>
        <v>19</v>
      </c>
    </row>
    <row r="117" spans="1:14" x14ac:dyDescent="0.35">
      <c r="A117" s="196"/>
      <c r="B117" s="196"/>
      <c r="C117" s="222" t="str">
        <f>IF(B117="",C115,B117)</f>
        <v>125</v>
      </c>
      <c r="D117" s="196" t="s">
        <v>221</v>
      </c>
      <c r="E117" s="209" t="s">
        <v>586</v>
      </c>
      <c r="F117" s="196" t="s">
        <v>219</v>
      </c>
      <c r="G117" s="196" t="s">
        <v>217</v>
      </c>
      <c r="H117">
        <f t="shared" si="1"/>
        <v>24</v>
      </c>
    </row>
    <row r="118" spans="1:14" x14ac:dyDescent="0.35">
      <c r="A118" s="196"/>
      <c r="B118" s="196"/>
      <c r="C118" s="222" t="str">
        <f t="shared" si="56"/>
        <v>125</v>
      </c>
      <c r="D118" s="196" t="s">
        <v>272</v>
      </c>
      <c r="E118" s="209" t="s">
        <v>750</v>
      </c>
      <c r="F118" s="196" t="s">
        <v>247</v>
      </c>
      <c r="G118" s="196" t="s">
        <v>164</v>
      </c>
      <c r="H118">
        <f t="shared" si="1"/>
        <v>22</v>
      </c>
    </row>
    <row r="119" spans="1:14" x14ac:dyDescent="0.35">
      <c r="A119" s="196"/>
      <c r="B119" s="196"/>
      <c r="C119" s="222" t="str">
        <f t="shared" si="56"/>
        <v>125</v>
      </c>
      <c r="D119" s="196" t="s">
        <v>275</v>
      </c>
      <c r="E119" s="209" t="s">
        <v>751</v>
      </c>
      <c r="F119" s="196" t="s">
        <v>247</v>
      </c>
      <c r="G119" s="196" t="s">
        <v>164</v>
      </c>
      <c r="H119">
        <f t="shared" ref="H119" si="59">LEN(E119)</f>
        <v>20</v>
      </c>
    </row>
    <row r="120" spans="1:14" x14ac:dyDescent="0.35">
      <c r="A120" s="196"/>
      <c r="B120" s="196"/>
      <c r="C120" s="222" t="str">
        <f t="shared" ref="C120:C122" si="60">IF(B120="",C117,B120)</f>
        <v>125</v>
      </c>
      <c r="D120" s="196" t="s">
        <v>222</v>
      </c>
      <c r="E120" s="209" t="s">
        <v>587</v>
      </c>
      <c r="F120" s="196" t="s">
        <v>219</v>
      </c>
      <c r="G120" s="196" t="s">
        <v>164</v>
      </c>
      <c r="H120">
        <f t="shared" si="1"/>
        <v>23</v>
      </c>
    </row>
    <row r="121" spans="1:14" x14ac:dyDescent="0.35">
      <c r="A121" s="196"/>
      <c r="B121" s="196"/>
      <c r="C121" s="222" t="str">
        <f t="shared" si="60"/>
        <v>125</v>
      </c>
      <c r="D121" s="196" t="s">
        <v>223</v>
      </c>
      <c r="E121" s="209" t="s">
        <v>868</v>
      </c>
      <c r="F121" s="196" t="s">
        <v>219</v>
      </c>
      <c r="G121" s="196" t="s">
        <v>164</v>
      </c>
      <c r="H121">
        <f t="shared" ref="H121" si="61">LEN(E121)</f>
        <v>24</v>
      </c>
      <c r="J121" s="222"/>
      <c r="K121" s="196"/>
      <c r="L121" s="209"/>
      <c r="M121" s="196"/>
      <c r="N121" s="196"/>
    </row>
    <row r="122" spans="1:14" x14ac:dyDescent="0.35">
      <c r="A122" s="196"/>
      <c r="B122" s="196"/>
      <c r="C122" s="222" t="str">
        <f t="shared" si="60"/>
        <v>125</v>
      </c>
      <c r="D122" s="196" t="s">
        <v>224</v>
      </c>
      <c r="E122" s="209" t="s">
        <v>1117</v>
      </c>
      <c r="F122" s="196" t="s">
        <v>219</v>
      </c>
      <c r="G122" s="196" t="s">
        <v>164</v>
      </c>
      <c r="H122">
        <f t="shared" ref="H122:H127" si="62">LEN(E122)</f>
        <v>22</v>
      </c>
      <c r="J122" s="222"/>
      <c r="K122" s="196"/>
      <c r="L122" s="209"/>
      <c r="M122" s="196"/>
      <c r="N122" s="196"/>
    </row>
    <row r="123" spans="1:14" x14ac:dyDescent="0.35">
      <c r="A123" s="196"/>
      <c r="B123" s="196"/>
      <c r="C123" s="223" t="str">
        <f t="shared" ref="C123" si="63">IF(B123="",C120,B123)</f>
        <v>125</v>
      </c>
      <c r="D123" s="224" t="s">
        <v>225</v>
      </c>
      <c r="E123" s="254" t="s">
        <v>1190</v>
      </c>
      <c r="F123" s="224" t="s">
        <v>219</v>
      </c>
      <c r="G123" s="224" t="s">
        <v>217</v>
      </c>
      <c r="H123" s="16">
        <f t="shared" ref="H123" si="64">LEN(E123)</f>
        <v>28</v>
      </c>
      <c r="J123" s="222"/>
      <c r="K123" s="196"/>
      <c r="L123" s="209"/>
      <c r="M123" s="196"/>
      <c r="N123" s="196"/>
    </row>
    <row r="124" spans="1:14" x14ac:dyDescent="0.35">
      <c r="A124" s="196"/>
      <c r="B124" s="196"/>
      <c r="C124" s="223" t="str">
        <f t="shared" ref="C124" si="65">IF(B124="",C123,B124)</f>
        <v>125</v>
      </c>
      <c r="D124" s="224" t="s">
        <v>376</v>
      </c>
      <c r="E124" s="225" t="s">
        <v>1185</v>
      </c>
      <c r="F124" s="224" t="s">
        <v>247</v>
      </c>
      <c r="G124" s="224" t="s">
        <v>292</v>
      </c>
      <c r="H124" s="16">
        <f t="shared" ref="H124" si="66">LEN(E124)</f>
        <v>24</v>
      </c>
    </row>
    <row r="125" spans="1:14" x14ac:dyDescent="0.35">
      <c r="A125" s="196"/>
      <c r="B125" s="196"/>
      <c r="C125" s="222" t="str">
        <f>IF(B125="",C120,B125)</f>
        <v>125</v>
      </c>
      <c r="D125" s="196" t="s">
        <v>286</v>
      </c>
      <c r="E125" s="208" t="s">
        <v>781</v>
      </c>
      <c r="F125" s="196" t="s">
        <v>219</v>
      </c>
      <c r="G125" s="196" t="s">
        <v>217</v>
      </c>
      <c r="H125">
        <f t="shared" si="62"/>
        <v>16</v>
      </c>
      <c r="J125" s="222"/>
      <c r="K125" s="196"/>
      <c r="L125" s="209"/>
      <c r="M125" s="196"/>
      <c r="N125" s="196"/>
    </row>
    <row r="126" spans="1:14" x14ac:dyDescent="0.35">
      <c r="A126" s="196"/>
      <c r="B126" s="196"/>
      <c r="C126" s="222" t="str">
        <f>IF(B126="",C121,B126)</f>
        <v>125</v>
      </c>
      <c r="D126" s="196" t="s">
        <v>329</v>
      </c>
      <c r="E126" s="209" t="s">
        <v>764</v>
      </c>
      <c r="F126" s="196" t="s">
        <v>247</v>
      </c>
      <c r="G126" s="196" t="s">
        <v>164</v>
      </c>
      <c r="H126">
        <f t="shared" si="62"/>
        <v>20</v>
      </c>
      <c r="J126" s="222"/>
      <c r="K126" s="196"/>
      <c r="L126" s="209"/>
      <c r="M126" s="196"/>
      <c r="N126" s="196"/>
    </row>
    <row r="127" spans="1:14" x14ac:dyDescent="0.35">
      <c r="A127" s="196"/>
      <c r="B127" s="196"/>
      <c r="C127" s="222" t="str">
        <f>IF(B127="",C122,B127)</f>
        <v>125</v>
      </c>
      <c r="D127" s="196" t="s">
        <v>330</v>
      </c>
      <c r="E127" s="209" t="s">
        <v>765</v>
      </c>
      <c r="F127" s="196" t="s">
        <v>247</v>
      </c>
      <c r="G127" s="196" t="s">
        <v>164</v>
      </c>
      <c r="H127">
        <f t="shared" si="62"/>
        <v>20</v>
      </c>
      <c r="J127" s="222"/>
      <c r="K127" s="196"/>
      <c r="L127" s="209"/>
      <c r="M127" s="196"/>
      <c r="N127" s="196"/>
    </row>
    <row r="128" spans="1:14" x14ac:dyDescent="0.35">
      <c r="A128" s="196" t="s">
        <v>250</v>
      </c>
      <c r="B128" s="196" t="s">
        <v>293</v>
      </c>
      <c r="C128" s="222" t="str">
        <f>IF(B128="",C120,B128)</f>
        <v>130</v>
      </c>
      <c r="D128" s="196"/>
      <c r="E128" s="205" t="s">
        <v>294</v>
      </c>
      <c r="F128" s="196" t="s">
        <v>216</v>
      </c>
      <c r="G128" s="196" t="s">
        <v>217</v>
      </c>
      <c r="H128">
        <f t="shared" si="1"/>
        <v>23</v>
      </c>
      <c r="J128" s="1" t="s">
        <v>768</v>
      </c>
    </row>
    <row r="129" spans="1:10" x14ac:dyDescent="0.35">
      <c r="A129" s="196"/>
      <c r="B129" s="196"/>
      <c r="C129" s="222" t="str">
        <f t="shared" ref="C129:C137" si="67">IF(B129="",C128,B129)</f>
        <v>130</v>
      </c>
      <c r="D129" s="196" t="s">
        <v>218</v>
      </c>
      <c r="E129" s="209" t="s">
        <v>770</v>
      </c>
      <c r="F129" s="196" t="s">
        <v>219</v>
      </c>
      <c r="G129" s="196" t="s">
        <v>292</v>
      </c>
      <c r="H129">
        <f t="shared" si="1"/>
        <v>20</v>
      </c>
      <c r="J129" s="1" t="s">
        <v>768</v>
      </c>
    </row>
    <row r="130" spans="1:10" x14ac:dyDescent="0.35">
      <c r="A130" s="196"/>
      <c r="B130" s="196"/>
      <c r="C130" s="222" t="str">
        <f t="shared" si="67"/>
        <v>130</v>
      </c>
      <c r="D130" s="196" t="s">
        <v>221</v>
      </c>
      <c r="E130" s="209" t="s">
        <v>771</v>
      </c>
      <c r="F130" s="196" t="s">
        <v>219</v>
      </c>
      <c r="G130" s="196" t="s">
        <v>292</v>
      </c>
      <c r="H130">
        <f t="shared" si="1"/>
        <v>22</v>
      </c>
    </row>
    <row r="131" spans="1:10" x14ac:dyDescent="0.35">
      <c r="A131" s="196"/>
      <c r="B131" s="196"/>
      <c r="C131" s="222" t="str">
        <f t="shared" si="67"/>
        <v>130</v>
      </c>
      <c r="D131" s="196" t="s">
        <v>222</v>
      </c>
      <c r="E131" s="209" t="s">
        <v>772</v>
      </c>
      <c r="F131" s="196" t="s">
        <v>219</v>
      </c>
      <c r="G131" s="196" t="s">
        <v>292</v>
      </c>
      <c r="H131">
        <f t="shared" ref="H131" si="68">LEN(E131)</f>
        <v>25</v>
      </c>
    </row>
    <row r="132" spans="1:10" x14ac:dyDescent="0.35">
      <c r="A132" s="196"/>
      <c r="B132" s="196"/>
      <c r="C132" s="222" t="str">
        <f t="shared" si="67"/>
        <v>130</v>
      </c>
      <c r="D132" s="196" t="s">
        <v>286</v>
      </c>
      <c r="E132" s="208" t="s">
        <v>781</v>
      </c>
      <c r="F132" s="196" t="s">
        <v>219</v>
      </c>
      <c r="G132" s="196" t="s">
        <v>217</v>
      </c>
      <c r="H132">
        <f t="shared" si="1"/>
        <v>16</v>
      </c>
    </row>
    <row r="133" spans="1:10" x14ac:dyDescent="0.35">
      <c r="A133" s="196"/>
      <c r="B133" s="196"/>
      <c r="C133" s="222" t="str">
        <f t="shared" si="67"/>
        <v>130</v>
      </c>
      <c r="D133" s="196" t="s">
        <v>329</v>
      </c>
      <c r="E133" s="209" t="s">
        <v>764</v>
      </c>
      <c r="F133" s="196" t="s">
        <v>247</v>
      </c>
      <c r="G133" s="196" t="s">
        <v>164</v>
      </c>
      <c r="H133">
        <f t="shared" si="1"/>
        <v>20</v>
      </c>
    </row>
    <row r="134" spans="1:10" x14ac:dyDescent="0.35">
      <c r="A134" s="196"/>
      <c r="B134" s="196"/>
      <c r="C134" s="222" t="str">
        <f t="shared" si="67"/>
        <v>130</v>
      </c>
      <c r="D134" s="196" t="s">
        <v>330</v>
      </c>
      <c r="E134" s="209" t="s">
        <v>765</v>
      </c>
      <c r="F134" s="196" t="s">
        <v>247</v>
      </c>
      <c r="G134" s="196" t="s">
        <v>164</v>
      </c>
      <c r="H134">
        <f t="shared" si="1"/>
        <v>20</v>
      </c>
    </row>
    <row r="135" spans="1:10" x14ac:dyDescent="0.35">
      <c r="A135" s="196"/>
      <c r="B135" s="196"/>
      <c r="C135" s="222" t="str">
        <f t="shared" si="67"/>
        <v>130</v>
      </c>
      <c r="D135" s="196" t="s">
        <v>331</v>
      </c>
      <c r="E135" s="209" t="s">
        <v>766</v>
      </c>
      <c r="F135" s="196" t="s">
        <v>247</v>
      </c>
      <c r="G135" s="196" t="s">
        <v>164</v>
      </c>
      <c r="H135">
        <f t="shared" si="1"/>
        <v>26</v>
      </c>
    </row>
    <row r="136" spans="1:10" x14ac:dyDescent="0.35">
      <c r="A136" s="196" t="s">
        <v>250</v>
      </c>
      <c r="B136" s="196" t="s">
        <v>853</v>
      </c>
      <c r="C136" s="222" t="str">
        <f t="shared" si="67"/>
        <v>131</v>
      </c>
      <c r="D136" s="196"/>
      <c r="E136" s="205" t="s">
        <v>1046</v>
      </c>
      <c r="F136" s="196" t="s">
        <v>216</v>
      </c>
      <c r="G136" s="196" t="s">
        <v>217</v>
      </c>
      <c r="H136">
        <f t="shared" ref="H136:H137" si="69">LEN(E136)</f>
        <v>22</v>
      </c>
    </row>
    <row r="137" spans="1:10" x14ac:dyDescent="0.35">
      <c r="A137" s="196"/>
      <c r="B137" s="196"/>
      <c r="C137" s="222" t="str">
        <f t="shared" si="67"/>
        <v>131</v>
      </c>
      <c r="D137" s="196" t="s">
        <v>218</v>
      </c>
      <c r="E137" s="270" t="s">
        <v>1047</v>
      </c>
      <c r="F137" s="196" t="s">
        <v>219</v>
      </c>
      <c r="G137" s="196" t="s">
        <v>164</v>
      </c>
      <c r="H137">
        <f t="shared" si="69"/>
        <v>27</v>
      </c>
    </row>
    <row r="138" spans="1:10" x14ac:dyDescent="0.35">
      <c r="A138" s="196" t="s">
        <v>250</v>
      </c>
      <c r="B138" s="196" t="s">
        <v>295</v>
      </c>
      <c r="C138" s="222" t="str">
        <f>IF(B138="",C132,B138)</f>
        <v>135</v>
      </c>
      <c r="D138" s="196"/>
      <c r="E138" s="205" t="s">
        <v>296</v>
      </c>
      <c r="F138" s="196" t="s">
        <v>216</v>
      </c>
      <c r="G138" s="196" t="s">
        <v>217</v>
      </c>
      <c r="H138">
        <f t="shared" si="1"/>
        <v>11</v>
      </c>
    </row>
    <row r="139" spans="1:10" x14ac:dyDescent="0.35">
      <c r="A139" s="196"/>
      <c r="B139" s="196"/>
      <c r="C139" s="222" t="str">
        <f t="shared" ref="C139:C160" si="70">IF(B139="",C138,B139)</f>
        <v>135</v>
      </c>
      <c r="D139" s="196" t="s">
        <v>218</v>
      </c>
      <c r="E139" s="208" t="s">
        <v>202</v>
      </c>
      <c r="F139" s="196" t="s">
        <v>219</v>
      </c>
      <c r="G139" s="196" t="s">
        <v>164</v>
      </c>
      <c r="H139">
        <f t="shared" si="1"/>
        <v>13</v>
      </c>
    </row>
    <row r="140" spans="1:10" x14ac:dyDescent="0.35">
      <c r="A140" s="196"/>
      <c r="B140" s="196"/>
      <c r="C140" s="222" t="str">
        <f t="shared" si="70"/>
        <v>135</v>
      </c>
      <c r="D140" s="196" t="s">
        <v>221</v>
      </c>
      <c r="E140" s="208" t="s">
        <v>588</v>
      </c>
      <c r="F140" s="196" t="s">
        <v>219</v>
      </c>
      <c r="G140" s="196" t="s">
        <v>164</v>
      </c>
      <c r="H140">
        <f t="shared" si="1"/>
        <v>21</v>
      </c>
    </row>
    <row r="141" spans="1:10" x14ac:dyDescent="0.35">
      <c r="A141" s="196"/>
      <c r="B141" s="196"/>
      <c r="C141" s="222" t="str">
        <f t="shared" si="70"/>
        <v>135</v>
      </c>
      <c r="D141" s="196" t="s">
        <v>222</v>
      </c>
      <c r="E141" s="208" t="s">
        <v>302</v>
      </c>
      <c r="F141" s="196" t="s">
        <v>219</v>
      </c>
      <c r="G141" s="196" t="s">
        <v>217</v>
      </c>
      <c r="H141">
        <f t="shared" si="1"/>
        <v>18</v>
      </c>
    </row>
    <row r="142" spans="1:10" x14ac:dyDescent="0.35">
      <c r="A142" s="196"/>
      <c r="B142" s="196"/>
      <c r="C142" s="222" t="str">
        <f t="shared" si="70"/>
        <v>135</v>
      </c>
      <c r="D142" s="196" t="s">
        <v>303</v>
      </c>
      <c r="E142" s="213" t="s">
        <v>479</v>
      </c>
      <c r="F142" s="196" t="s">
        <v>247</v>
      </c>
      <c r="G142" s="196" t="s">
        <v>164</v>
      </c>
      <c r="H142">
        <f t="shared" si="1"/>
        <v>6</v>
      </c>
    </row>
    <row r="143" spans="1:10" x14ac:dyDescent="0.35">
      <c r="A143" s="196"/>
      <c r="B143" s="196"/>
      <c r="C143" s="222" t="str">
        <f t="shared" si="70"/>
        <v>135</v>
      </c>
      <c r="D143" s="196" t="s">
        <v>304</v>
      </c>
      <c r="E143" s="213" t="s">
        <v>459</v>
      </c>
      <c r="F143" s="196" t="s">
        <v>247</v>
      </c>
      <c r="G143" s="196" t="s">
        <v>164</v>
      </c>
      <c r="H143">
        <f t="shared" si="1"/>
        <v>20</v>
      </c>
    </row>
    <row r="144" spans="1:10" x14ac:dyDescent="0.35">
      <c r="A144" s="196"/>
      <c r="B144" s="196"/>
      <c r="C144" s="222" t="str">
        <f t="shared" si="70"/>
        <v>135</v>
      </c>
      <c r="D144" s="196" t="s">
        <v>305</v>
      </c>
      <c r="E144" s="213" t="s">
        <v>297</v>
      </c>
      <c r="F144" s="196" t="s">
        <v>247</v>
      </c>
      <c r="G144" s="196" t="s">
        <v>164</v>
      </c>
      <c r="H144">
        <f t="shared" si="1"/>
        <v>3</v>
      </c>
    </row>
    <row r="145" spans="1:8" x14ac:dyDescent="0.35">
      <c r="A145" s="196"/>
      <c r="B145" s="196"/>
      <c r="C145" s="222" t="str">
        <f t="shared" si="70"/>
        <v>135</v>
      </c>
      <c r="D145" s="196" t="s">
        <v>306</v>
      </c>
      <c r="E145" s="213" t="s">
        <v>592</v>
      </c>
      <c r="F145" s="196" t="s">
        <v>247</v>
      </c>
      <c r="G145" s="196" t="s">
        <v>164</v>
      </c>
      <c r="H145">
        <f t="shared" si="1"/>
        <v>18</v>
      </c>
    </row>
    <row r="146" spans="1:8" x14ac:dyDescent="0.35">
      <c r="A146" s="196"/>
      <c r="B146" s="196"/>
      <c r="C146" s="222" t="str">
        <f t="shared" si="70"/>
        <v>135</v>
      </c>
      <c r="D146" s="196" t="s">
        <v>307</v>
      </c>
      <c r="E146" s="213" t="s">
        <v>480</v>
      </c>
      <c r="F146" s="196" t="s">
        <v>247</v>
      </c>
      <c r="G146" s="196" t="s">
        <v>164</v>
      </c>
      <c r="H146">
        <f t="shared" si="1"/>
        <v>6</v>
      </c>
    </row>
    <row r="147" spans="1:8" x14ac:dyDescent="0.35">
      <c r="A147" s="196"/>
      <c r="B147" s="196"/>
      <c r="C147" s="222" t="str">
        <f t="shared" si="70"/>
        <v>135</v>
      </c>
      <c r="D147" s="196" t="s">
        <v>308</v>
      </c>
      <c r="E147" s="213" t="s">
        <v>460</v>
      </c>
      <c r="F147" s="196" t="s">
        <v>247</v>
      </c>
      <c r="G147" s="196" t="s">
        <v>164</v>
      </c>
      <c r="H147">
        <f t="shared" si="1"/>
        <v>7</v>
      </c>
    </row>
    <row r="148" spans="1:8" x14ac:dyDescent="0.35">
      <c r="A148" s="196"/>
      <c r="B148" s="196"/>
      <c r="C148" s="222" t="str">
        <f t="shared" si="70"/>
        <v>135</v>
      </c>
      <c r="D148" s="196" t="s">
        <v>309</v>
      </c>
      <c r="E148" s="213" t="s">
        <v>481</v>
      </c>
      <c r="F148" s="196" t="s">
        <v>247</v>
      </c>
      <c r="G148" s="196" t="s">
        <v>164</v>
      </c>
      <c r="H148">
        <f t="shared" si="1"/>
        <v>9</v>
      </c>
    </row>
    <row r="149" spans="1:8" x14ac:dyDescent="0.35">
      <c r="A149" s="196"/>
      <c r="B149" s="196"/>
      <c r="C149" s="222" t="str">
        <f t="shared" si="70"/>
        <v>135</v>
      </c>
      <c r="D149" s="196" t="s">
        <v>310</v>
      </c>
      <c r="E149" s="213" t="s">
        <v>482</v>
      </c>
      <c r="F149" s="196" t="s">
        <v>247</v>
      </c>
      <c r="G149" s="196" t="s">
        <v>164</v>
      </c>
      <c r="H149">
        <f t="shared" si="1"/>
        <v>9</v>
      </c>
    </row>
    <row r="150" spans="1:8" x14ac:dyDescent="0.35">
      <c r="A150" s="196"/>
      <c r="B150" s="196"/>
      <c r="C150" s="222" t="str">
        <f t="shared" si="70"/>
        <v>135</v>
      </c>
      <c r="D150" s="196" t="s">
        <v>311</v>
      </c>
      <c r="E150" s="213" t="s">
        <v>483</v>
      </c>
      <c r="F150" s="196" t="s">
        <v>247</v>
      </c>
      <c r="G150" s="196" t="s">
        <v>164</v>
      </c>
      <c r="H150">
        <f t="shared" si="1"/>
        <v>7</v>
      </c>
    </row>
    <row r="151" spans="1:8" x14ac:dyDescent="0.35">
      <c r="A151" s="196"/>
      <c r="B151" s="196"/>
      <c r="C151" s="222" t="str">
        <f t="shared" si="70"/>
        <v>135</v>
      </c>
      <c r="D151" s="196" t="s">
        <v>312</v>
      </c>
      <c r="E151" s="213" t="s">
        <v>484</v>
      </c>
      <c r="F151" s="196" t="s">
        <v>247</v>
      </c>
      <c r="G151" s="196" t="s">
        <v>164</v>
      </c>
      <c r="H151">
        <f t="shared" ref="H151:H247" si="71">LEN(E151)</f>
        <v>9</v>
      </c>
    </row>
    <row r="152" spans="1:8" x14ac:dyDescent="0.35">
      <c r="A152" s="196"/>
      <c r="B152" s="196"/>
      <c r="C152" s="222" t="str">
        <f t="shared" si="70"/>
        <v>135</v>
      </c>
      <c r="D152" s="196" t="s">
        <v>313</v>
      </c>
      <c r="E152" s="213" t="s">
        <v>462</v>
      </c>
      <c r="F152" s="196" t="s">
        <v>247</v>
      </c>
      <c r="G152" s="196" t="s">
        <v>164</v>
      </c>
      <c r="H152">
        <f t="shared" si="71"/>
        <v>8</v>
      </c>
    </row>
    <row r="153" spans="1:8" x14ac:dyDescent="0.35">
      <c r="A153" s="196"/>
      <c r="B153" s="196"/>
      <c r="C153" s="222" t="str">
        <f t="shared" si="70"/>
        <v>135</v>
      </c>
      <c r="D153" s="196" t="s">
        <v>452</v>
      </c>
      <c r="E153" s="213" t="s">
        <v>461</v>
      </c>
      <c r="F153" s="196" t="s">
        <v>247</v>
      </c>
      <c r="G153" s="196" t="s">
        <v>164</v>
      </c>
      <c r="H153">
        <f t="shared" si="71"/>
        <v>5</v>
      </c>
    </row>
    <row r="154" spans="1:8" x14ac:dyDescent="0.35">
      <c r="A154" s="196"/>
      <c r="B154" s="196"/>
      <c r="C154" s="222" t="str">
        <f t="shared" si="70"/>
        <v>135</v>
      </c>
      <c r="D154" s="196" t="s">
        <v>453</v>
      </c>
      <c r="E154" s="213" t="s">
        <v>485</v>
      </c>
      <c r="F154" s="196" t="s">
        <v>247</v>
      </c>
      <c r="G154" s="196" t="s">
        <v>164</v>
      </c>
      <c r="H154">
        <f t="shared" si="71"/>
        <v>6</v>
      </c>
    </row>
    <row r="155" spans="1:8" x14ac:dyDescent="0.35">
      <c r="A155" s="196"/>
      <c r="B155" s="196"/>
      <c r="C155" s="222" t="str">
        <f t="shared" ref="C155" si="72">IF(B155="",C154,B155)</f>
        <v>135</v>
      </c>
      <c r="D155" s="196" t="s">
        <v>860</v>
      </c>
      <c r="E155" s="213" t="s">
        <v>861</v>
      </c>
      <c r="F155" s="196" t="s">
        <v>247</v>
      </c>
      <c r="G155" s="196" t="s">
        <v>164</v>
      </c>
      <c r="H155">
        <f t="shared" ref="H155" si="73">LEN(E155)</f>
        <v>6</v>
      </c>
    </row>
    <row r="156" spans="1:8" x14ac:dyDescent="0.35">
      <c r="A156" s="196"/>
      <c r="B156" s="196"/>
      <c r="C156" s="222" t="str">
        <f t="shared" ref="C156:C157" si="74">IF(B156="",C155,B156)</f>
        <v>135</v>
      </c>
      <c r="D156" s="196" t="s">
        <v>948</v>
      </c>
      <c r="E156" s="213" t="s">
        <v>1122</v>
      </c>
      <c r="F156" s="196" t="s">
        <v>247</v>
      </c>
      <c r="G156" s="196" t="s">
        <v>164</v>
      </c>
      <c r="H156">
        <f t="shared" ref="H156:H157" si="75">LEN(E156)</f>
        <v>6</v>
      </c>
    </row>
    <row r="157" spans="1:8" x14ac:dyDescent="0.35">
      <c r="A157" s="196"/>
      <c r="B157" s="196"/>
      <c r="C157" s="222" t="str">
        <f t="shared" si="74"/>
        <v>135</v>
      </c>
      <c r="D157" s="196" t="s">
        <v>949</v>
      </c>
      <c r="E157" s="213" t="s">
        <v>1123</v>
      </c>
      <c r="F157" s="196" t="s">
        <v>247</v>
      </c>
      <c r="G157" s="196" t="s">
        <v>164</v>
      </c>
      <c r="H157">
        <f t="shared" si="75"/>
        <v>5</v>
      </c>
    </row>
    <row r="158" spans="1:8" x14ac:dyDescent="0.35">
      <c r="A158" s="196"/>
      <c r="B158" s="196"/>
      <c r="C158" s="222" t="str">
        <f>IF(B158="",C154,B158)</f>
        <v>135</v>
      </c>
      <c r="D158" s="196" t="s">
        <v>223</v>
      </c>
      <c r="E158" s="208" t="s">
        <v>773</v>
      </c>
      <c r="F158" s="196" t="s">
        <v>219</v>
      </c>
      <c r="G158" s="196" t="s">
        <v>217</v>
      </c>
      <c r="H158">
        <f t="shared" si="71"/>
        <v>26</v>
      </c>
    </row>
    <row r="159" spans="1:8" x14ac:dyDescent="0.35">
      <c r="A159" s="196"/>
      <c r="B159" s="196"/>
      <c r="C159" s="222" t="str">
        <f t="shared" si="70"/>
        <v>135</v>
      </c>
      <c r="D159" s="196" t="s">
        <v>362</v>
      </c>
      <c r="E159" s="213" t="s">
        <v>774</v>
      </c>
      <c r="F159" s="196" t="s">
        <v>247</v>
      </c>
      <c r="G159" s="196" t="s">
        <v>164</v>
      </c>
      <c r="H159">
        <f t="shared" si="71"/>
        <v>29</v>
      </c>
    </row>
    <row r="160" spans="1:8" x14ac:dyDescent="0.35">
      <c r="A160" s="196"/>
      <c r="B160" s="196"/>
      <c r="C160" s="222" t="str">
        <f t="shared" si="70"/>
        <v>135</v>
      </c>
      <c r="D160" s="196" t="s">
        <v>363</v>
      </c>
      <c r="E160" s="213" t="s">
        <v>775</v>
      </c>
      <c r="F160" s="196" t="s">
        <v>247</v>
      </c>
      <c r="G160" s="196" t="s">
        <v>164</v>
      </c>
      <c r="H160">
        <f t="shared" si="71"/>
        <v>30</v>
      </c>
    </row>
    <row r="161" spans="1:8" x14ac:dyDescent="0.35">
      <c r="A161" s="196"/>
      <c r="B161" s="196"/>
      <c r="C161" s="222" t="str">
        <f>IF(B161="",C159,B161)</f>
        <v>135</v>
      </c>
      <c r="D161" s="196" t="s">
        <v>224</v>
      </c>
      <c r="E161" s="208" t="s">
        <v>873</v>
      </c>
      <c r="F161" s="196" t="s">
        <v>219</v>
      </c>
      <c r="G161" s="196" t="s">
        <v>217</v>
      </c>
      <c r="H161">
        <f t="shared" ref="H161" si="76">LEN(E161)</f>
        <v>30</v>
      </c>
    </row>
    <row r="162" spans="1:8" x14ac:dyDescent="0.35">
      <c r="A162" s="196"/>
      <c r="B162" s="196"/>
      <c r="C162" s="222" t="str">
        <f>IF(B162="",C154,B162)</f>
        <v>135</v>
      </c>
      <c r="D162" s="196" t="s">
        <v>286</v>
      </c>
      <c r="E162" s="209" t="s">
        <v>589</v>
      </c>
      <c r="F162" s="196" t="s">
        <v>219</v>
      </c>
      <c r="G162" s="196" t="s">
        <v>164</v>
      </c>
      <c r="H162">
        <f t="shared" si="71"/>
        <v>23</v>
      </c>
    </row>
    <row r="163" spans="1:8" x14ac:dyDescent="0.35">
      <c r="A163" s="196" t="s">
        <v>250</v>
      </c>
      <c r="B163" s="196" t="s">
        <v>315</v>
      </c>
      <c r="C163" s="222" t="str">
        <f t="shared" ref="C163:C177" si="77">IF(B163="",C162,B163)</f>
        <v>140</v>
      </c>
      <c r="D163" s="196"/>
      <c r="E163" s="205" t="s">
        <v>316</v>
      </c>
      <c r="F163" s="196" t="s">
        <v>216</v>
      </c>
      <c r="G163" s="196" t="s">
        <v>217</v>
      </c>
      <c r="H163">
        <f t="shared" si="71"/>
        <v>26</v>
      </c>
    </row>
    <row r="164" spans="1:8" x14ac:dyDescent="0.35">
      <c r="A164" s="196"/>
      <c r="B164" s="196"/>
      <c r="C164" s="222" t="str">
        <f t="shared" si="77"/>
        <v>140</v>
      </c>
      <c r="D164" s="196" t="s">
        <v>218</v>
      </c>
      <c r="E164" s="208" t="s">
        <v>317</v>
      </c>
      <c r="F164" s="196" t="s">
        <v>219</v>
      </c>
      <c r="G164" s="196" t="s">
        <v>217</v>
      </c>
      <c r="H164">
        <f t="shared" si="71"/>
        <v>17</v>
      </c>
    </row>
    <row r="165" spans="1:8" x14ac:dyDescent="0.35">
      <c r="A165" s="196"/>
      <c r="B165" s="196"/>
      <c r="C165" s="222" t="str">
        <f t="shared" si="77"/>
        <v>140</v>
      </c>
      <c r="D165" s="196" t="s">
        <v>53</v>
      </c>
      <c r="E165" s="213" t="s">
        <v>647</v>
      </c>
      <c r="F165" s="196" t="s">
        <v>247</v>
      </c>
      <c r="G165" s="196" t="s">
        <v>164</v>
      </c>
      <c r="H165">
        <f t="shared" si="71"/>
        <v>19</v>
      </c>
    </row>
    <row r="166" spans="1:8" x14ac:dyDescent="0.35">
      <c r="A166" s="196"/>
      <c r="B166" s="196"/>
      <c r="C166" s="222" t="str">
        <f t="shared" si="77"/>
        <v>140</v>
      </c>
      <c r="D166" s="196" t="s">
        <v>55</v>
      </c>
      <c r="E166" s="213" t="s">
        <v>648</v>
      </c>
      <c r="F166" s="196" t="s">
        <v>247</v>
      </c>
      <c r="G166" s="196" t="s">
        <v>164</v>
      </c>
      <c r="H166">
        <f t="shared" si="71"/>
        <v>19</v>
      </c>
    </row>
    <row r="167" spans="1:8" x14ac:dyDescent="0.35">
      <c r="A167" s="196"/>
      <c r="B167" s="196"/>
      <c r="C167" s="222" t="str">
        <f t="shared" ref="C167" si="78">IF(B167="",C166,B167)</f>
        <v>140</v>
      </c>
      <c r="D167" s="196" t="s">
        <v>57</v>
      </c>
      <c r="E167" s="213" t="s">
        <v>876</v>
      </c>
      <c r="F167" s="196" t="s">
        <v>247</v>
      </c>
      <c r="G167" s="196" t="s">
        <v>164</v>
      </c>
      <c r="H167">
        <f t="shared" ref="H167" si="79">LEN(E167)</f>
        <v>21</v>
      </c>
    </row>
    <row r="168" spans="1:8" x14ac:dyDescent="0.35">
      <c r="A168" s="196"/>
      <c r="B168" s="196"/>
      <c r="C168" s="222" t="str">
        <f t="shared" ref="C168" si="80">IF(B168="",C167,B168)</f>
        <v>140</v>
      </c>
      <c r="D168" s="196" t="s">
        <v>59</v>
      </c>
      <c r="E168" s="213" t="s">
        <v>882</v>
      </c>
      <c r="F168" s="196" t="s">
        <v>247</v>
      </c>
      <c r="G168" s="196" t="s">
        <v>164</v>
      </c>
      <c r="H168">
        <f t="shared" ref="H168" si="81">LEN(E168)</f>
        <v>18</v>
      </c>
    </row>
    <row r="169" spans="1:8" x14ac:dyDescent="0.35">
      <c r="A169" s="196"/>
      <c r="B169" s="196"/>
      <c r="C169" s="222" t="str">
        <f>IF(B169="",C166,B169)</f>
        <v>140</v>
      </c>
      <c r="D169" s="196" t="s">
        <v>221</v>
      </c>
      <c r="E169" s="208" t="s">
        <v>318</v>
      </c>
      <c r="F169" s="196" t="s">
        <v>219</v>
      </c>
      <c r="G169" s="196" t="s">
        <v>217</v>
      </c>
      <c r="H169">
        <f t="shared" si="71"/>
        <v>10</v>
      </c>
    </row>
    <row r="170" spans="1:8" x14ac:dyDescent="0.35">
      <c r="A170" s="196"/>
      <c r="B170" s="196"/>
      <c r="C170" s="222" t="str">
        <f t="shared" si="77"/>
        <v>140</v>
      </c>
      <c r="D170" s="196" t="s">
        <v>272</v>
      </c>
      <c r="E170" s="213" t="s">
        <v>649</v>
      </c>
      <c r="F170" s="196" t="s">
        <v>247</v>
      </c>
      <c r="G170" s="196" t="s">
        <v>164</v>
      </c>
      <c r="H170">
        <f t="shared" si="71"/>
        <v>14</v>
      </c>
    </row>
    <row r="171" spans="1:8" x14ac:dyDescent="0.35">
      <c r="A171" s="196"/>
      <c r="B171" s="196"/>
      <c r="C171" s="222" t="str">
        <f t="shared" si="77"/>
        <v>140</v>
      </c>
      <c r="D171" s="196" t="s">
        <v>275</v>
      </c>
      <c r="E171" s="213" t="s">
        <v>650</v>
      </c>
      <c r="F171" s="196" t="s">
        <v>247</v>
      </c>
      <c r="G171" s="196" t="s">
        <v>164</v>
      </c>
      <c r="H171">
        <f t="shared" si="71"/>
        <v>14</v>
      </c>
    </row>
    <row r="172" spans="1:8" x14ac:dyDescent="0.35">
      <c r="A172" s="196"/>
      <c r="B172" s="196"/>
      <c r="C172" s="222" t="str">
        <f t="shared" ref="C172" si="82">IF(B172="",C171,B172)</f>
        <v>140</v>
      </c>
      <c r="D172" s="196" t="s">
        <v>278</v>
      </c>
      <c r="E172" s="213" t="s">
        <v>883</v>
      </c>
      <c r="F172" s="196" t="s">
        <v>247</v>
      </c>
      <c r="G172" s="196" t="s">
        <v>164</v>
      </c>
      <c r="H172">
        <f t="shared" ref="H172" si="83">LEN(E172)</f>
        <v>13</v>
      </c>
    </row>
    <row r="173" spans="1:8" x14ac:dyDescent="0.35">
      <c r="A173" s="196"/>
      <c r="B173" s="196"/>
      <c r="C173" s="222" t="str">
        <f>IF(B173="",C171,B173)</f>
        <v>140</v>
      </c>
      <c r="D173" s="196" t="s">
        <v>222</v>
      </c>
      <c r="E173" s="208" t="s">
        <v>743</v>
      </c>
      <c r="F173" s="196" t="s">
        <v>219</v>
      </c>
      <c r="G173" s="196" t="s">
        <v>217</v>
      </c>
      <c r="H173">
        <f t="shared" ref="H173:H175" si="84">LEN(E173)</f>
        <v>15</v>
      </c>
    </row>
    <row r="174" spans="1:8" x14ac:dyDescent="0.35">
      <c r="A174" s="196"/>
      <c r="B174" s="196"/>
      <c r="C174" s="222" t="str">
        <f t="shared" si="77"/>
        <v>140</v>
      </c>
      <c r="D174" s="196" t="s">
        <v>303</v>
      </c>
      <c r="E174" s="213" t="s">
        <v>744</v>
      </c>
      <c r="F174" s="196" t="s">
        <v>247</v>
      </c>
      <c r="G174" s="196" t="s">
        <v>164</v>
      </c>
      <c r="H174">
        <f t="shared" si="84"/>
        <v>14</v>
      </c>
    </row>
    <row r="175" spans="1:8" x14ac:dyDescent="0.35">
      <c r="A175" s="196"/>
      <c r="B175" s="196"/>
      <c r="C175" s="222" t="str">
        <f t="shared" si="77"/>
        <v>140</v>
      </c>
      <c r="D175" s="196" t="s">
        <v>304</v>
      </c>
      <c r="E175" s="213" t="s">
        <v>745</v>
      </c>
      <c r="F175" s="196" t="s">
        <v>247</v>
      </c>
      <c r="G175" s="196" t="s">
        <v>164</v>
      </c>
      <c r="H175">
        <f t="shared" si="84"/>
        <v>14</v>
      </c>
    </row>
    <row r="176" spans="1:8" x14ac:dyDescent="0.35">
      <c r="A176" s="196"/>
      <c r="B176" s="196"/>
      <c r="C176" s="222" t="str">
        <f>IF(B176="",C175,B176)</f>
        <v>140</v>
      </c>
      <c r="D176" s="196" t="s">
        <v>223</v>
      </c>
      <c r="E176" s="208" t="s">
        <v>886</v>
      </c>
      <c r="F176" s="196" t="s">
        <v>219</v>
      </c>
      <c r="G176" s="196" t="s">
        <v>217</v>
      </c>
      <c r="H176">
        <f t="shared" ref="H176:H177" si="85">LEN(E176)</f>
        <v>27</v>
      </c>
    </row>
    <row r="177" spans="1:8" x14ac:dyDescent="0.35">
      <c r="A177" s="196"/>
      <c r="B177" s="196"/>
      <c r="C177" s="222" t="str">
        <f t="shared" si="77"/>
        <v>140</v>
      </c>
      <c r="D177" s="196" t="s">
        <v>362</v>
      </c>
      <c r="E177" s="213" t="s">
        <v>746</v>
      </c>
      <c r="F177" s="196" t="s">
        <v>247</v>
      </c>
      <c r="G177" s="196" t="s">
        <v>164</v>
      </c>
      <c r="H177">
        <f t="shared" si="85"/>
        <v>10</v>
      </c>
    </row>
    <row r="178" spans="1:8" x14ac:dyDescent="0.35">
      <c r="A178" s="196"/>
      <c r="B178" s="196"/>
      <c r="C178" s="222" t="str">
        <f>IF(B178="",C177,B178)</f>
        <v>140</v>
      </c>
      <c r="D178" s="196" t="s">
        <v>224</v>
      </c>
      <c r="E178" s="208" t="s">
        <v>884</v>
      </c>
      <c r="F178" s="196" t="s">
        <v>219</v>
      </c>
      <c r="G178" s="196" t="s">
        <v>217</v>
      </c>
      <c r="H178">
        <f t="shared" ref="H178:H179" si="86">LEN(E178)</f>
        <v>24</v>
      </c>
    </row>
    <row r="179" spans="1:8" x14ac:dyDescent="0.35">
      <c r="A179" s="196"/>
      <c r="B179" s="196"/>
      <c r="C179" s="222" t="str">
        <f t="shared" ref="C179" si="87">IF(B179="",C178,B179)</f>
        <v>140</v>
      </c>
      <c r="D179" s="196" t="s">
        <v>367</v>
      </c>
      <c r="E179" s="213" t="s">
        <v>885</v>
      </c>
      <c r="F179" s="196" t="s">
        <v>247</v>
      </c>
      <c r="G179" s="196" t="s">
        <v>164</v>
      </c>
      <c r="H179">
        <f t="shared" si="86"/>
        <v>23</v>
      </c>
    </row>
    <row r="180" spans="1:8" x14ac:dyDescent="0.35">
      <c r="A180" s="196"/>
      <c r="B180" s="196"/>
      <c r="C180" s="222" t="str">
        <f t="shared" ref="C180" si="88">IF(B180="",C179,B180)</f>
        <v>140</v>
      </c>
      <c r="D180" s="196" t="s">
        <v>371</v>
      </c>
      <c r="E180" s="213" t="s">
        <v>887</v>
      </c>
      <c r="F180" s="196" t="s">
        <v>247</v>
      </c>
      <c r="G180" s="196" t="s">
        <v>164</v>
      </c>
      <c r="H180">
        <f t="shared" ref="H180:H182" si="89">LEN(E180)</f>
        <v>22</v>
      </c>
    </row>
    <row r="181" spans="1:8" x14ac:dyDescent="0.35">
      <c r="A181" s="196"/>
      <c r="B181" s="196"/>
      <c r="C181" s="222" t="str">
        <f>IF(B181="",C180,B181)</f>
        <v>140</v>
      </c>
      <c r="D181" s="196" t="s">
        <v>225</v>
      </c>
      <c r="E181" s="208" t="s">
        <v>912</v>
      </c>
      <c r="F181" s="196" t="s">
        <v>219</v>
      </c>
      <c r="G181" s="196" t="s">
        <v>217</v>
      </c>
      <c r="H181">
        <f t="shared" si="89"/>
        <v>22</v>
      </c>
    </row>
    <row r="182" spans="1:8" x14ac:dyDescent="0.35">
      <c r="A182" s="196"/>
      <c r="B182" s="196"/>
      <c r="C182" s="222" t="str">
        <f t="shared" ref="C182" si="90">IF(B182="",C181,B182)</f>
        <v>140</v>
      </c>
      <c r="D182" s="196" t="s">
        <v>376</v>
      </c>
      <c r="E182" s="213" t="s">
        <v>911</v>
      </c>
      <c r="F182" s="196" t="s">
        <v>247</v>
      </c>
      <c r="G182" s="196" t="s">
        <v>164</v>
      </c>
      <c r="H182">
        <f t="shared" si="89"/>
        <v>17</v>
      </c>
    </row>
    <row r="183" spans="1:8" x14ac:dyDescent="0.35">
      <c r="A183" s="196" t="s">
        <v>250</v>
      </c>
      <c r="B183" s="196" t="s">
        <v>319</v>
      </c>
      <c r="C183" s="222" t="str">
        <f>IF(B183="",C171,B183)</f>
        <v>145</v>
      </c>
      <c r="D183" s="196"/>
      <c r="E183" s="205" t="s">
        <v>320</v>
      </c>
      <c r="F183" s="196" t="s">
        <v>216</v>
      </c>
      <c r="G183" s="196" t="s">
        <v>217</v>
      </c>
      <c r="H183">
        <f t="shared" si="71"/>
        <v>23</v>
      </c>
    </row>
    <row r="184" spans="1:8" x14ac:dyDescent="0.35">
      <c r="A184" s="196"/>
      <c r="B184" s="196"/>
      <c r="C184" s="222" t="str">
        <f t="shared" ref="C184:C214" si="91">IF(B184="",C183,B184)</f>
        <v>145</v>
      </c>
      <c r="D184" s="196" t="s">
        <v>218</v>
      </c>
      <c r="E184" s="209" t="s">
        <v>591</v>
      </c>
      <c r="F184" s="196" t="s">
        <v>219</v>
      </c>
      <c r="G184" s="196" t="s">
        <v>164</v>
      </c>
      <c r="H184">
        <f t="shared" si="71"/>
        <v>16</v>
      </c>
    </row>
    <row r="185" spans="1:8" x14ac:dyDescent="0.35">
      <c r="A185" s="196"/>
      <c r="B185" s="196"/>
      <c r="C185" s="222" t="str">
        <f t="shared" si="91"/>
        <v>145</v>
      </c>
      <c r="D185" s="196" t="s">
        <v>221</v>
      </c>
      <c r="E185" s="209" t="s">
        <v>590</v>
      </c>
      <c r="F185" s="196" t="s">
        <v>219</v>
      </c>
      <c r="G185" s="196" t="s">
        <v>164</v>
      </c>
      <c r="H185">
        <f t="shared" si="71"/>
        <v>17</v>
      </c>
    </row>
    <row r="186" spans="1:8" x14ac:dyDescent="0.35">
      <c r="A186" s="196"/>
      <c r="B186" s="196"/>
      <c r="C186" s="222" t="str">
        <f t="shared" si="91"/>
        <v>145</v>
      </c>
      <c r="D186" s="196" t="s">
        <v>222</v>
      </c>
      <c r="E186" s="208" t="s">
        <v>1002</v>
      </c>
      <c r="F186" s="196" t="s">
        <v>219</v>
      </c>
      <c r="G186" s="196" t="s">
        <v>217</v>
      </c>
      <c r="H186">
        <f t="shared" si="71"/>
        <v>14</v>
      </c>
    </row>
    <row r="187" spans="1:8" x14ac:dyDescent="0.35">
      <c r="A187" s="196"/>
      <c r="B187" s="196"/>
      <c r="C187" s="222" t="str">
        <f t="shared" si="91"/>
        <v>145</v>
      </c>
      <c r="D187" s="196" t="s">
        <v>303</v>
      </c>
      <c r="E187" s="213" t="s">
        <v>1003</v>
      </c>
      <c r="F187" s="196" t="s">
        <v>247</v>
      </c>
      <c r="G187" s="196" t="s">
        <v>164</v>
      </c>
      <c r="H187">
        <f t="shared" si="71"/>
        <v>20</v>
      </c>
    </row>
    <row r="188" spans="1:8" x14ac:dyDescent="0.35">
      <c r="A188" s="196"/>
      <c r="B188" s="196"/>
      <c r="C188" s="222" t="str">
        <f t="shared" si="91"/>
        <v>145</v>
      </c>
      <c r="D188" s="196" t="s">
        <v>304</v>
      </c>
      <c r="E188" s="213" t="s">
        <v>486</v>
      </c>
      <c r="F188" s="196" t="s">
        <v>247</v>
      </c>
      <c r="G188" s="196" t="s">
        <v>164</v>
      </c>
      <c r="H188">
        <f t="shared" si="71"/>
        <v>15</v>
      </c>
    </row>
    <row r="189" spans="1:8" x14ac:dyDescent="0.35">
      <c r="A189" s="196"/>
      <c r="B189" s="196"/>
      <c r="C189" s="222" t="str">
        <f t="shared" ref="C189" si="92">IF(B189="",C188,B189)</f>
        <v>145</v>
      </c>
      <c r="D189" s="196" t="s">
        <v>305</v>
      </c>
      <c r="E189" s="213" t="s">
        <v>1004</v>
      </c>
      <c r="F189" s="196" t="s">
        <v>247</v>
      </c>
      <c r="G189" s="196" t="s">
        <v>164</v>
      </c>
      <c r="H189">
        <f t="shared" ref="H189" si="93">LEN(E189)</f>
        <v>20</v>
      </c>
    </row>
    <row r="190" spans="1:8" x14ac:dyDescent="0.35">
      <c r="A190" s="196"/>
      <c r="B190" s="196"/>
      <c r="C190" s="222" t="str">
        <f t="shared" ref="C190" si="94">IF(B190="",C188,B190)</f>
        <v>145</v>
      </c>
      <c r="D190" s="196" t="s">
        <v>223</v>
      </c>
      <c r="E190" s="209" t="s">
        <v>992</v>
      </c>
      <c r="F190" s="196" t="s">
        <v>219</v>
      </c>
      <c r="G190" s="196" t="s">
        <v>164</v>
      </c>
      <c r="H190">
        <f t="shared" ref="H190" si="95">LEN(E190)</f>
        <v>18</v>
      </c>
    </row>
    <row r="191" spans="1:8" x14ac:dyDescent="0.35">
      <c r="A191" s="196"/>
      <c r="B191" s="196"/>
      <c r="C191" s="222" t="str">
        <f t="shared" ref="C191" si="96">IF(B191="",C190,B191)</f>
        <v>145</v>
      </c>
      <c r="D191" s="196" t="s">
        <v>224</v>
      </c>
      <c r="E191" s="209" t="s">
        <v>1001</v>
      </c>
      <c r="F191" s="196" t="s">
        <v>219</v>
      </c>
      <c r="G191" s="196" t="s">
        <v>164</v>
      </c>
      <c r="H191">
        <f t="shared" ref="H191" si="97">LEN(E191)</f>
        <v>23</v>
      </c>
    </row>
    <row r="192" spans="1:8" x14ac:dyDescent="0.35">
      <c r="A192" s="196" t="s">
        <v>250</v>
      </c>
      <c r="B192" s="196" t="s">
        <v>321</v>
      </c>
      <c r="C192" s="222" t="str">
        <f>IF(B192="",C188,B192)</f>
        <v>16</v>
      </c>
      <c r="D192" s="196"/>
      <c r="E192" s="204" t="s">
        <v>322</v>
      </c>
      <c r="F192" s="196" t="s">
        <v>254</v>
      </c>
      <c r="G192" s="196" t="s">
        <v>217</v>
      </c>
      <c r="H192">
        <f t="shared" si="71"/>
        <v>11</v>
      </c>
    </row>
    <row r="193" spans="1:8" x14ac:dyDescent="0.35">
      <c r="A193" s="196" t="s">
        <v>250</v>
      </c>
      <c r="B193" s="196" t="s">
        <v>323</v>
      </c>
      <c r="C193" s="222" t="str">
        <f t="shared" si="91"/>
        <v>160</v>
      </c>
      <c r="D193" s="196"/>
      <c r="E193" s="205" t="s">
        <v>324</v>
      </c>
      <c r="F193" s="196" t="s">
        <v>216</v>
      </c>
      <c r="G193" s="196" t="s">
        <v>217</v>
      </c>
      <c r="H193">
        <f t="shared" si="71"/>
        <v>23</v>
      </c>
    </row>
    <row r="194" spans="1:8" x14ac:dyDescent="0.35">
      <c r="A194" s="196"/>
      <c r="B194" s="196"/>
      <c r="C194" s="222" t="str">
        <f t="shared" si="91"/>
        <v>160</v>
      </c>
      <c r="D194" s="196" t="s">
        <v>218</v>
      </c>
      <c r="E194" s="209" t="s">
        <v>631</v>
      </c>
      <c r="F194" s="196" t="s">
        <v>219</v>
      </c>
      <c r="G194" s="196" t="s">
        <v>164</v>
      </c>
      <c r="H194">
        <f t="shared" si="71"/>
        <v>15</v>
      </c>
    </row>
    <row r="195" spans="1:8" x14ac:dyDescent="0.35">
      <c r="A195" s="196"/>
      <c r="B195" s="196"/>
      <c r="C195" s="222" t="str">
        <f t="shared" si="91"/>
        <v>160</v>
      </c>
      <c r="D195" s="196" t="s">
        <v>221</v>
      </c>
      <c r="E195" s="209" t="s">
        <v>1160</v>
      </c>
      <c r="F195" s="196" t="s">
        <v>219</v>
      </c>
      <c r="G195" s="196" t="s">
        <v>164</v>
      </c>
      <c r="H195">
        <f t="shared" si="71"/>
        <v>28</v>
      </c>
    </row>
    <row r="196" spans="1:8" x14ac:dyDescent="0.35">
      <c r="A196" s="196"/>
      <c r="B196" s="196"/>
      <c r="C196" s="222" t="str">
        <f t="shared" si="91"/>
        <v>160</v>
      </c>
      <c r="D196" s="196" t="s">
        <v>222</v>
      </c>
      <c r="E196" s="209" t="s">
        <v>325</v>
      </c>
      <c r="F196" s="196" t="s">
        <v>219</v>
      </c>
      <c r="G196" s="196" t="s">
        <v>164</v>
      </c>
      <c r="H196">
        <f t="shared" si="71"/>
        <v>5</v>
      </c>
    </row>
    <row r="197" spans="1:8" x14ac:dyDescent="0.35">
      <c r="A197" s="196"/>
      <c r="B197" s="196"/>
      <c r="C197" s="222" t="str">
        <f t="shared" si="91"/>
        <v>160</v>
      </c>
      <c r="D197" s="196" t="s">
        <v>223</v>
      </c>
      <c r="E197" s="209" t="s">
        <v>593</v>
      </c>
      <c r="F197" s="196" t="s">
        <v>219</v>
      </c>
      <c r="G197" s="196" t="s">
        <v>164</v>
      </c>
      <c r="H197">
        <f t="shared" si="71"/>
        <v>13</v>
      </c>
    </row>
    <row r="198" spans="1:8" x14ac:dyDescent="0.35">
      <c r="A198" s="196"/>
      <c r="B198" s="196"/>
      <c r="C198" s="222" t="str">
        <f t="shared" ref="C198" si="98">IF(B198="",C197,B198)</f>
        <v>160</v>
      </c>
      <c r="D198" s="196" t="s">
        <v>224</v>
      </c>
      <c r="E198" s="209" t="s">
        <v>908</v>
      </c>
      <c r="F198" s="196" t="s">
        <v>219</v>
      </c>
      <c r="G198" s="196" t="s">
        <v>164</v>
      </c>
      <c r="H198">
        <f t="shared" ref="H198" si="99">LEN(E198)</f>
        <v>6</v>
      </c>
    </row>
    <row r="199" spans="1:8" x14ac:dyDescent="0.35">
      <c r="A199" s="196"/>
      <c r="B199" s="196"/>
      <c r="C199" s="222" t="str">
        <f t="shared" ref="C199:C200" si="100">IF(B199="",C198,B199)</f>
        <v>160</v>
      </c>
      <c r="D199" s="196" t="s">
        <v>225</v>
      </c>
      <c r="E199" s="209" t="s">
        <v>1138</v>
      </c>
      <c r="F199" s="196" t="s">
        <v>219</v>
      </c>
      <c r="G199" s="196" t="s">
        <v>164</v>
      </c>
      <c r="H199">
        <f t="shared" ref="H199:H200" si="101">LEN(E199)</f>
        <v>8</v>
      </c>
    </row>
    <row r="200" spans="1:8" x14ac:dyDescent="0.35">
      <c r="A200" s="196"/>
      <c r="B200" s="196"/>
      <c r="C200" s="222" t="str">
        <f t="shared" si="100"/>
        <v>160</v>
      </c>
      <c r="D200" s="196" t="s">
        <v>226</v>
      </c>
      <c r="E200" s="209" t="s">
        <v>1137</v>
      </c>
      <c r="F200" s="196" t="s">
        <v>219</v>
      </c>
      <c r="G200" s="196" t="s">
        <v>164</v>
      </c>
      <c r="H200">
        <f t="shared" si="101"/>
        <v>25</v>
      </c>
    </row>
    <row r="201" spans="1:8" x14ac:dyDescent="0.35">
      <c r="A201" s="196"/>
      <c r="B201" s="196"/>
      <c r="C201" s="222" t="str">
        <f t="shared" ref="C201:C202" si="102">IF(B201="",C200,B201)</f>
        <v>160</v>
      </c>
      <c r="D201" s="196" t="s">
        <v>227</v>
      </c>
      <c r="E201" s="209" t="s">
        <v>1161</v>
      </c>
      <c r="F201" s="196" t="s">
        <v>219</v>
      </c>
      <c r="G201" s="196" t="s">
        <v>164</v>
      </c>
      <c r="H201">
        <f t="shared" ref="H201:H202" si="103">LEN(E201)</f>
        <v>14</v>
      </c>
    </row>
    <row r="202" spans="1:8" x14ac:dyDescent="0.35">
      <c r="A202" s="196"/>
      <c r="B202" s="196"/>
      <c r="C202" s="222" t="str">
        <f t="shared" si="102"/>
        <v>160</v>
      </c>
      <c r="D202" s="196" t="s">
        <v>1156</v>
      </c>
      <c r="E202" s="209" t="s">
        <v>1162</v>
      </c>
      <c r="F202" s="196" t="s">
        <v>219</v>
      </c>
      <c r="G202" s="196" t="s">
        <v>164</v>
      </c>
      <c r="H202">
        <f t="shared" si="103"/>
        <v>18</v>
      </c>
    </row>
    <row r="203" spans="1:8" x14ac:dyDescent="0.35">
      <c r="A203" s="196"/>
      <c r="B203" s="196"/>
      <c r="C203" s="222" t="str">
        <f>IF(B203="",C197,B203)</f>
        <v>160</v>
      </c>
      <c r="D203" s="196" t="s">
        <v>286</v>
      </c>
      <c r="E203" s="209" t="s">
        <v>589</v>
      </c>
      <c r="F203" s="196" t="s">
        <v>219</v>
      </c>
      <c r="G203" s="196" t="s">
        <v>164</v>
      </c>
      <c r="H203">
        <f t="shared" si="71"/>
        <v>23</v>
      </c>
    </row>
    <row r="204" spans="1:8" x14ac:dyDescent="0.35">
      <c r="A204" s="196" t="s">
        <v>250</v>
      </c>
      <c r="B204" s="196" t="s">
        <v>326</v>
      </c>
      <c r="C204" s="222" t="str">
        <f t="shared" si="91"/>
        <v>165</v>
      </c>
      <c r="D204" s="196"/>
      <c r="E204" s="205" t="s">
        <v>327</v>
      </c>
      <c r="F204" s="196" t="s">
        <v>216</v>
      </c>
      <c r="G204" s="196" t="s">
        <v>217</v>
      </c>
      <c r="H204">
        <f t="shared" si="71"/>
        <v>26</v>
      </c>
    </row>
    <row r="205" spans="1:8" x14ac:dyDescent="0.35">
      <c r="A205" s="196"/>
      <c r="B205" s="196"/>
      <c r="C205" s="222" t="str">
        <f t="shared" si="91"/>
        <v>165</v>
      </c>
      <c r="D205" s="196" t="s">
        <v>218</v>
      </c>
      <c r="E205" s="209" t="s">
        <v>487</v>
      </c>
      <c r="F205" s="196" t="s">
        <v>219</v>
      </c>
      <c r="G205" s="196" t="s">
        <v>164</v>
      </c>
      <c r="H205">
        <f t="shared" si="71"/>
        <v>8</v>
      </c>
    </row>
    <row r="206" spans="1:8" x14ac:dyDescent="0.35">
      <c r="A206" s="196"/>
      <c r="B206" s="196"/>
      <c r="C206" s="222" t="str">
        <f t="shared" si="91"/>
        <v>165</v>
      </c>
      <c r="D206" s="196" t="s">
        <v>221</v>
      </c>
      <c r="E206" s="208" t="s">
        <v>328</v>
      </c>
      <c r="F206" s="196" t="s">
        <v>219</v>
      </c>
      <c r="G206" s="196" t="s">
        <v>217</v>
      </c>
      <c r="H206">
        <f t="shared" si="71"/>
        <v>9</v>
      </c>
    </row>
    <row r="207" spans="1:8" x14ac:dyDescent="0.35">
      <c r="A207" s="196"/>
      <c r="B207" s="196"/>
      <c r="C207" s="222" t="str">
        <f t="shared" si="91"/>
        <v>165</v>
      </c>
      <c r="D207" s="196" t="s">
        <v>272</v>
      </c>
      <c r="E207" s="213" t="s">
        <v>488</v>
      </c>
      <c r="F207" s="196" t="s">
        <v>247</v>
      </c>
      <c r="G207" s="196" t="s">
        <v>164</v>
      </c>
      <c r="H207">
        <f t="shared" si="71"/>
        <v>14</v>
      </c>
    </row>
    <row r="208" spans="1:8" x14ac:dyDescent="0.35">
      <c r="A208" s="196"/>
      <c r="B208" s="196"/>
      <c r="C208" s="222" t="str">
        <f t="shared" si="91"/>
        <v>165</v>
      </c>
      <c r="D208" s="196" t="s">
        <v>275</v>
      </c>
      <c r="E208" s="213" t="s">
        <v>489</v>
      </c>
      <c r="F208" s="196" t="s">
        <v>247</v>
      </c>
      <c r="G208" s="196" t="s">
        <v>164</v>
      </c>
      <c r="H208">
        <f t="shared" si="71"/>
        <v>16</v>
      </c>
    </row>
    <row r="209" spans="1:8" x14ac:dyDescent="0.35">
      <c r="A209" s="196"/>
      <c r="B209" s="196"/>
      <c r="C209" s="222" t="str">
        <f t="shared" si="91"/>
        <v>165</v>
      </c>
      <c r="D209" s="196" t="s">
        <v>222</v>
      </c>
      <c r="E209" s="209" t="s">
        <v>490</v>
      </c>
      <c r="F209" s="196" t="s">
        <v>219</v>
      </c>
      <c r="G209" s="196" t="s">
        <v>164</v>
      </c>
      <c r="H209">
        <f t="shared" si="71"/>
        <v>19</v>
      </c>
    </row>
    <row r="210" spans="1:8" x14ac:dyDescent="0.35">
      <c r="A210" s="196"/>
      <c r="B210" s="196"/>
      <c r="C210" s="222" t="str">
        <f t="shared" si="91"/>
        <v>165</v>
      </c>
      <c r="D210" s="196" t="s">
        <v>223</v>
      </c>
      <c r="E210" s="209" t="s">
        <v>594</v>
      </c>
      <c r="F210" s="196" t="s">
        <v>219</v>
      </c>
      <c r="G210" s="196" t="s">
        <v>164</v>
      </c>
      <c r="H210">
        <f t="shared" si="71"/>
        <v>20</v>
      </c>
    </row>
    <row r="211" spans="1:8" x14ac:dyDescent="0.35">
      <c r="A211" s="196"/>
      <c r="B211" s="196"/>
      <c r="C211" s="222" t="str">
        <f t="shared" si="91"/>
        <v>165</v>
      </c>
      <c r="D211" s="196" t="s">
        <v>224</v>
      </c>
      <c r="E211" s="209" t="s">
        <v>595</v>
      </c>
      <c r="F211" s="196" t="s">
        <v>219</v>
      </c>
      <c r="G211" s="196" t="s">
        <v>164</v>
      </c>
      <c r="H211">
        <f t="shared" si="71"/>
        <v>17</v>
      </c>
    </row>
    <row r="212" spans="1:8" x14ac:dyDescent="0.35">
      <c r="A212" s="196"/>
      <c r="B212" s="196"/>
      <c r="C212" s="222" t="str">
        <f t="shared" si="91"/>
        <v>165</v>
      </c>
      <c r="D212" s="196" t="s">
        <v>225</v>
      </c>
      <c r="E212" s="209" t="s">
        <v>596</v>
      </c>
      <c r="F212" s="196" t="s">
        <v>219</v>
      </c>
      <c r="G212" s="196" t="s">
        <v>164</v>
      </c>
      <c r="H212">
        <f t="shared" si="71"/>
        <v>17</v>
      </c>
    </row>
    <row r="213" spans="1:8" x14ac:dyDescent="0.35">
      <c r="A213" s="196"/>
      <c r="B213" s="196"/>
      <c r="C213" s="222" t="str">
        <f t="shared" si="91"/>
        <v>165</v>
      </c>
      <c r="D213" s="196" t="s">
        <v>226</v>
      </c>
      <c r="E213" s="209" t="s">
        <v>597</v>
      </c>
      <c r="F213" s="196" t="s">
        <v>219</v>
      </c>
      <c r="G213" s="196" t="s">
        <v>164</v>
      </c>
      <c r="H213">
        <f t="shared" si="71"/>
        <v>21</v>
      </c>
    </row>
    <row r="214" spans="1:8" x14ac:dyDescent="0.35">
      <c r="A214" s="196"/>
      <c r="B214" s="196"/>
      <c r="C214" s="222" t="str">
        <f t="shared" si="91"/>
        <v>165</v>
      </c>
      <c r="D214" s="196" t="s">
        <v>227</v>
      </c>
      <c r="E214" s="209" t="s">
        <v>738</v>
      </c>
      <c r="F214" s="196" t="s">
        <v>219</v>
      </c>
      <c r="G214" s="196" t="s">
        <v>164</v>
      </c>
      <c r="H214">
        <f t="shared" ref="H214" si="104">LEN(E214)</f>
        <v>18</v>
      </c>
    </row>
    <row r="215" spans="1:8" x14ac:dyDescent="0.35">
      <c r="A215" s="196"/>
      <c r="B215" s="196"/>
      <c r="C215" s="223" t="str">
        <f t="shared" ref="C215" si="105">IF(B215="",C214,B215)</f>
        <v>165</v>
      </c>
      <c r="D215" s="224" t="s">
        <v>1155</v>
      </c>
      <c r="E215" s="227" t="s">
        <v>1154</v>
      </c>
      <c r="F215" s="196" t="s">
        <v>219</v>
      </c>
      <c r="G215" s="196" t="s">
        <v>164</v>
      </c>
      <c r="H215">
        <f t="shared" ref="H215" si="106">LEN(E215)</f>
        <v>33</v>
      </c>
    </row>
    <row r="216" spans="1:8" x14ac:dyDescent="0.35">
      <c r="A216" s="196"/>
      <c r="B216" s="196"/>
      <c r="C216" s="222" t="str">
        <f>IF(B216="",C213,B216)</f>
        <v>165</v>
      </c>
      <c r="D216" s="196" t="s">
        <v>286</v>
      </c>
      <c r="E216" s="208" t="s">
        <v>314</v>
      </c>
      <c r="F216" s="196" t="s">
        <v>219</v>
      </c>
      <c r="G216" s="196" t="s">
        <v>217</v>
      </c>
      <c r="H216">
        <f t="shared" si="71"/>
        <v>24</v>
      </c>
    </row>
    <row r="217" spans="1:8" x14ac:dyDescent="0.35">
      <c r="A217" s="196"/>
      <c r="B217" s="196"/>
      <c r="C217" s="222" t="str">
        <f t="shared" ref="C217:C224" si="107">IF(B217="",C216,B217)</f>
        <v>165</v>
      </c>
      <c r="D217" s="196" t="s">
        <v>329</v>
      </c>
      <c r="E217" s="213" t="s">
        <v>487</v>
      </c>
      <c r="F217" s="196" t="s">
        <v>247</v>
      </c>
      <c r="G217" s="196" t="s">
        <v>164</v>
      </c>
      <c r="H217">
        <f t="shared" si="71"/>
        <v>8</v>
      </c>
    </row>
    <row r="218" spans="1:8" x14ac:dyDescent="0.35">
      <c r="A218" s="196"/>
      <c r="B218" s="196"/>
      <c r="C218" s="222" t="str">
        <f t="shared" si="107"/>
        <v>165</v>
      </c>
      <c r="D218" s="196" t="s">
        <v>330</v>
      </c>
      <c r="E218" s="213" t="s">
        <v>491</v>
      </c>
      <c r="F218" s="196" t="s">
        <v>247</v>
      </c>
      <c r="G218" s="196" t="s">
        <v>164</v>
      </c>
      <c r="H218">
        <f t="shared" si="71"/>
        <v>9</v>
      </c>
    </row>
    <row r="219" spans="1:8" x14ac:dyDescent="0.35">
      <c r="A219" s="196"/>
      <c r="B219" s="196"/>
      <c r="C219" s="222" t="str">
        <f t="shared" si="107"/>
        <v>165</v>
      </c>
      <c r="D219" s="196" t="s">
        <v>331</v>
      </c>
      <c r="E219" s="213" t="s">
        <v>490</v>
      </c>
      <c r="F219" s="196" t="s">
        <v>247</v>
      </c>
      <c r="G219" s="196" t="s">
        <v>164</v>
      </c>
      <c r="H219">
        <f t="shared" si="71"/>
        <v>19</v>
      </c>
    </row>
    <row r="220" spans="1:8" x14ac:dyDescent="0.35">
      <c r="A220" s="196"/>
      <c r="B220" s="196"/>
      <c r="C220" s="222" t="str">
        <f t="shared" si="107"/>
        <v>165</v>
      </c>
      <c r="D220" s="196" t="s">
        <v>332</v>
      </c>
      <c r="E220" s="213" t="s">
        <v>594</v>
      </c>
      <c r="F220" s="196" t="s">
        <v>247</v>
      </c>
      <c r="G220" s="196" t="s">
        <v>164</v>
      </c>
      <c r="H220">
        <f t="shared" si="71"/>
        <v>20</v>
      </c>
    </row>
    <row r="221" spans="1:8" x14ac:dyDescent="0.35">
      <c r="A221" s="196"/>
      <c r="B221" s="196"/>
      <c r="C221" s="222" t="str">
        <f t="shared" si="107"/>
        <v>165</v>
      </c>
      <c r="D221" s="196" t="s">
        <v>333</v>
      </c>
      <c r="E221" s="213" t="s">
        <v>595</v>
      </c>
      <c r="F221" s="196" t="s">
        <v>247</v>
      </c>
      <c r="G221" s="196" t="s">
        <v>164</v>
      </c>
      <c r="H221">
        <f t="shared" si="71"/>
        <v>17</v>
      </c>
    </row>
    <row r="222" spans="1:8" x14ac:dyDescent="0.35">
      <c r="A222" s="196"/>
      <c r="B222" s="196"/>
      <c r="C222" s="222" t="str">
        <f t="shared" si="107"/>
        <v>165</v>
      </c>
      <c r="D222" s="196" t="s">
        <v>334</v>
      </c>
      <c r="E222" s="213" t="s">
        <v>596</v>
      </c>
      <c r="F222" s="196" t="s">
        <v>247</v>
      </c>
      <c r="G222" s="196" t="s">
        <v>164</v>
      </c>
      <c r="H222">
        <f t="shared" si="71"/>
        <v>17</v>
      </c>
    </row>
    <row r="223" spans="1:8" x14ac:dyDescent="0.35">
      <c r="A223" s="196"/>
      <c r="B223" s="196"/>
      <c r="C223" s="222" t="str">
        <f t="shared" si="107"/>
        <v>165</v>
      </c>
      <c r="D223" s="196" t="s">
        <v>335</v>
      </c>
      <c r="E223" s="213" t="s">
        <v>597</v>
      </c>
      <c r="F223" s="196" t="s">
        <v>247</v>
      </c>
      <c r="G223" s="196" t="s">
        <v>164</v>
      </c>
      <c r="H223">
        <f t="shared" si="71"/>
        <v>21</v>
      </c>
    </row>
    <row r="224" spans="1:8" x14ac:dyDescent="0.35">
      <c r="A224" s="196"/>
      <c r="B224" s="196"/>
      <c r="C224" s="222" t="str">
        <f t="shared" si="107"/>
        <v>165</v>
      </c>
      <c r="D224" s="196" t="s">
        <v>739</v>
      </c>
      <c r="E224" s="213" t="s">
        <v>738</v>
      </c>
      <c r="F224" s="196" t="s">
        <v>247</v>
      </c>
      <c r="G224" s="196" t="s">
        <v>164</v>
      </c>
      <c r="H224">
        <f t="shared" ref="H224" si="108">LEN(E224)</f>
        <v>18</v>
      </c>
    </row>
    <row r="225" spans="1:8" x14ac:dyDescent="0.35">
      <c r="A225" s="196" t="s">
        <v>250</v>
      </c>
      <c r="B225" s="196" t="s">
        <v>336</v>
      </c>
      <c r="C225" s="222" t="str">
        <f>IF(B225="",C223,B225)</f>
        <v>170</v>
      </c>
      <c r="D225" s="196"/>
      <c r="E225" s="205" t="s">
        <v>337</v>
      </c>
      <c r="F225" s="196" t="s">
        <v>216</v>
      </c>
      <c r="G225" s="196" t="s">
        <v>217</v>
      </c>
      <c r="H225">
        <f t="shared" si="71"/>
        <v>24</v>
      </c>
    </row>
    <row r="226" spans="1:8" x14ac:dyDescent="0.35">
      <c r="A226" s="196"/>
      <c r="B226" s="196"/>
      <c r="C226" s="222" t="str">
        <f t="shared" ref="C226:C232" si="109">IF(B226="",C225,B226)</f>
        <v>170</v>
      </c>
      <c r="D226" s="196" t="s">
        <v>218</v>
      </c>
      <c r="E226" s="209" t="s">
        <v>491</v>
      </c>
      <c r="F226" s="196" t="s">
        <v>219</v>
      </c>
      <c r="G226" s="196" t="s">
        <v>164</v>
      </c>
      <c r="H226">
        <f t="shared" si="71"/>
        <v>9</v>
      </c>
    </row>
    <row r="227" spans="1:8" x14ac:dyDescent="0.35">
      <c r="A227" s="196"/>
      <c r="B227" s="196"/>
      <c r="C227" s="222" t="str">
        <f t="shared" si="109"/>
        <v>170</v>
      </c>
      <c r="D227" s="196" t="s">
        <v>221</v>
      </c>
      <c r="E227" s="209" t="s">
        <v>490</v>
      </c>
      <c r="F227" s="196" t="s">
        <v>219</v>
      </c>
      <c r="G227" s="196" t="s">
        <v>164</v>
      </c>
      <c r="H227">
        <f t="shared" si="71"/>
        <v>19</v>
      </c>
    </row>
    <row r="228" spans="1:8" x14ac:dyDescent="0.35">
      <c r="A228" s="196"/>
      <c r="B228" s="196"/>
      <c r="C228" s="222" t="str">
        <f t="shared" si="109"/>
        <v>170</v>
      </c>
      <c r="D228" s="196" t="s">
        <v>222</v>
      </c>
      <c r="E228" s="209" t="s">
        <v>594</v>
      </c>
      <c r="F228" s="196" t="s">
        <v>219</v>
      </c>
      <c r="G228" s="196" t="s">
        <v>164</v>
      </c>
      <c r="H228">
        <f t="shared" si="71"/>
        <v>20</v>
      </c>
    </row>
    <row r="229" spans="1:8" x14ac:dyDescent="0.35">
      <c r="A229" s="196"/>
      <c r="B229" s="196"/>
      <c r="C229" s="222" t="str">
        <f t="shared" si="109"/>
        <v>170</v>
      </c>
      <c r="D229" s="196" t="s">
        <v>223</v>
      </c>
      <c r="E229" s="209" t="s">
        <v>595</v>
      </c>
      <c r="F229" s="196" t="s">
        <v>219</v>
      </c>
      <c r="G229" s="196" t="s">
        <v>164</v>
      </c>
      <c r="H229">
        <f t="shared" si="71"/>
        <v>17</v>
      </c>
    </row>
    <row r="230" spans="1:8" x14ac:dyDescent="0.35">
      <c r="A230" s="196"/>
      <c r="B230" s="196"/>
      <c r="C230" s="222" t="str">
        <f t="shared" si="109"/>
        <v>170</v>
      </c>
      <c r="D230" s="196" t="s">
        <v>224</v>
      </c>
      <c r="E230" s="209" t="s">
        <v>596</v>
      </c>
      <c r="F230" s="196" t="s">
        <v>219</v>
      </c>
      <c r="G230" s="196" t="s">
        <v>164</v>
      </c>
      <c r="H230">
        <f t="shared" si="71"/>
        <v>17</v>
      </c>
    </row>
    <row r="231" spans="1:8" x14ac:dyDescent="0.35">
      <c r="A231" s="196"/>
      <c r="B231" s="196"/>
      <c r="C231" s="222" t="str">
        <f t="shared" si="109"/>
        <v>170</v>
      </c>
      <c r="D231" s="196" t="s">
        <v>225</v>
      </c>
      <c r="E231" s="209" t="s">
        <v>597</v>
      </c>
      <c r="F231" s="196" t="s">
        <v>219</v>
      </c>
      <c r="G231" s="196" t="s">
        <v>164</v>
      </c>
      <c r="H231">
        <f t="shared" si="71"/>
        <v>21</v>
      </c>
    </row>
    <row r="232" spans="1:8" x14ac:dyDescent="0.35">
      <c r="A232" s="196"/>
      <c r="B232" s="196"/>
      <c r="C232" s="222" t="str">
        <f t="shared" si="109"/>
        <v>170</v>
      </c>
      <c r="D232" s="196" t="s">
        <v>226</v>
      </c>
      <c r="E232" s="209" t="s">
        <v>738</v>
      </c>
      <c r="F232" s="196" t="s">
        <v>219</v>
      </c>
      <c r="G232" s="196" t="s">
        <v>164</v>
      </c>
      <c r="H232">
        <f t="shared" ref="H232" si="110">LEN(E232)</f>
        <v>18</v>
      </c>
    </row>
    <row r="233" spans="1:8" x14ac:dyDescent="0.35">
      <c r="A233" s="196"/>
      <c r="B233" s="196"/>
      <c r="C233" s="222" t="str">
        <f>IF(B233="",C231,B233)</f>
        <v>170</v>
      </c>
      <c r="D233" s="196" t="s">
        <v>286</v>
      </c>
      <c r="E233" s="208" t="s">
        <v>314</v>
      </c>
      <c r="F233" s="196" t="s">
        <v>219</v>
      </c>
      <c r="G233" s="196" t="s">
        <v>217</v>
      </c>
      <c r="H233">
        <f t="shared" si="71"/>
        <v>24</v>
      </c>
    </row>
    <row r="234" spans="1:8" x14ac:dyDescent="0.35">
      <c r="A234" s="196"/>
      <c r="B234" s="196"/>
      <c r="C234" s="222" t="str">
        <f t="shared" ref="C234:C241" si="111">IF(B234="",C233,B234)</f>
        <v>170</v>
      </c>
      <c r="D234" s="196" t="s">
        <v>329</v>
      </c>
      <c r="E234" s="213" t="s">
        <v>487</v>
      </c>
      <c r="F234" s="196" t="s">
        <v>247</v>
      </c>
      <c r="G234" s="196" t="s">
        <v>164</v>
      </c>
      <c r="H234">
        <f t="shared" si="71"/>
        <v>8</v>
      </c>
    </row>
    <row r="235" spans="1:8" x14ac:dyDescent="0.35">
      <c r="A235" s="196"/>
      <c r="B235" s="196"/>
      <c r="C235" s="222" t="str">
        <f t="shared" si="111"/>
        <v>170</v>
      </c>
      <c r="D235" s="196" t="s">
        <v>330</v>
      </c>
      <c r="E235" s="213" t="s">
        <v>491</v>
      </c>
      <c r="F235" s="196" t="s">
        <v>247</v>
      </c>
      <c r="G235" s="196" t="s">
        <v>164</v>
      </c>
      <c r="H235">
        <f t="shared" si="71"/>
        <v>9</v>
      </c>
    </row>
    <row r="236" spans="1:8" x14ac:dyDescent="0.35">
      <c r="A236" s="196"/>
      <c r="B236" s="196"/>
      <c r="C236" s="222" t="str">
        <f t="shared" si="111"/>
        <v>170</v>
      </c>
      <c r="D236" s="196" t="s">
        <v>331</v>
      </c>
      <c r="E236" s="213" t="s">
        <v>490</v>
      </c>
      <c r="F236" s="196" t="s">
        <v>247</v>
      </c>
      <c r="G236" s="196" t="s">
        <v>164</v>
      </c>
      <c r="H236">
        <f t="shared" si="71"/>
        <v>19</v>
      </c>
    </row>
    <row r="237" spans="1:8" x14ac:dyDescent="0.35">
      <c r="A237" s="196"/>
      <c r="B237" s="196"/>
      <c r="C237" s="222" t="str">
        <f t="shared" si="111"/>
        <v>170</v>
      </c>
      <c r="D237" s="196" t="s">
        <v>332</v>
      </c>
      <c r="E237" s="213" t="s">
        <v>594</v>
      </c>
      <c r="F237" s="196" t="s">
        <v>247</v>
      </c>
      <c r="G237" s="196" t="s">
        <v>164</v>
      </c>
      <c r="H237">
        <f t="shared" si="71"/>
        <v>20</v>
      </c>
    </row>
    <row r="238" spans="1:8" x14ac:dyDescent="0.35">
      <c r="A238" s="196"/>
      <c r="B238" s="196"/>
      <c r="C238" s="222" t="str">
        <f t="shared" si="111"/>
        <v>170</v>
      </c>
      <c r="D238" s="196" t="s">
        <v>333</v>
      </c>
      <c r="E238" s="213" t="s">
        <v>595</v>
      </c>
      <c r="F238" s="196" t="s">
        <v>247</v>
      </c>
      <c r="G238" s="196" t="s">
        <v>164</v>
      </c>
      <c r="H238">
        <f t="shared" si="71"/>
        <v>17</v>
      </c>
    </row>
    <row r="239" spans="1:8" x14ac:dyDescent="0.35">
      <c r="A239" s="196"/>
      <c r="B239" s="196"/>
      <c r="C239" s="222" t="str">
        <f t="shared" si="111"/>
        <v>170</v>
      </c>
      <c r="D239" s="196" t="s">
        <v>334</v>
      </c>
      <c r="E239" s="213" t="s">
        <v>596</v>
      </c>
      <c r="F239" s="196" t="s">
        <v>247</v>
      </c>
      <c r="G239" s="196" t="s">
        <v>164</v>
      </c>
      <c r="H239">
        <f t="shared" si="71"/>
        <v>17</v>
      </c>
    </row>
    <row r="240" spans="1:8" x14ac:dyDescent="0.35">
      <c r="A240" s="196"/>
      <c r="B240" s="196"/>
      <c r="C240" s="222" t="str">
        <f t="shared" si="111"/>
        <v>170</v>
      </c>
      <c r="D240" s="196" t="s">
        <v>335</v>
      </c>
      <c r="E240" s="213" t="s">
        <v>597</v>
      </c>
      <c r="F240" s="196" t="s">
        <v>247</v>
      </c>
      <c r="G240" s="196" t="s">
        <v>164</v>
      </c>
      <c r="H240">
        <f t="shared" si="71"/>
        <v>21</v>
      </c>
    </row>
    <row r="241" spans="1:8" x14ac:dyDescent="0.35">
      <c r="A241" s="196"/>
      <c r="B241" s="196"/>
      <c r="C241" s="222" t="str">
        <f t="shared" si="111"/>
        <v>170</v>
      </c>
      <c r="D241" s="196" t="s">
        <v>739</v>
      </c>
      <c r="E241" s="213" t="s">
        <v>738</v>
      </c>
      <c r="F241" s="196" t="s">
        <v>247</v>
      </c>
      <c r="G241" s="196" t="s">
        <v>164</v>
      </c>
      <c r="H241">
        <f t="shared" ref="H241" si="112">LEN(E241)</f>
        <v>18</v>
      </c>
    </row>
    <row r="242" spans="1:8" x14ac:dyDescent="0.35">
      <c r="A242" s="196" t="s">
        <v>250</v>
      </c>
      <c r="B242" s="196" t="s">
        <v>338</v>
      </c>
      <c r="C242" s="222" t="str">
        <f>IF(B242="",C240,B242)</f>
        <v>18</v>
      </c>
      <c r="D242" s="196"/>
      <c r="E242" s="204" t="s">
        <v>339</v>
      </c>
      <c r="F242" s="196" t="s">
        <v>254</v>
      </c>
      <c r="G242" s="196" t="s">
        <v>217</v>
      </c>
      <c r="H242">
        <f t="shared" si="71"/>
        <v>15</v>
      </c>
    </row>
    <row r="243" spans="1:8" x14ac:dyDescent="0.35">
      <c r="A243" s="196" t="s">
        <v>250</v>
      </c>
      <c r="B243" s="196" t="s">
        <v>340</v>
      </c>
      <c r="C243" s="222" t="str">
        <f t="shared" ref="C243:C299" si="113">IF(B243="",C242,B243)</f>
        <v>180</v>
      </c>
      <c r="D243" s="196"/>
      <c r="E243" s="205" t="s">
        <v>341</v>
      </c>
      <c r="F243" s="196" t="s">
        <v>216</v>
      </c>
      <c r="G243" s="196" t="s">
        <v>217</v>
      </c>
      <c r="H243">
        <f t="shared" si="71"/>
        <v>16</v>
      </c>
    </row>
    <row r="244" spans="1:8" x14ac:dyDescent="0.35">
      <c r="A244" s="196"/>
      <c r="B244" s="196"/>
      <c r="C244" s="222" t="str">
        <f t="shared" si="113"/>
        <v>180</v>
      </c>
      <c r="D244" s="196" t="s">
        <v>218</v>
      </c>
      <c r="E244" s="209" t="s">
        <v>633</v>
      </c>
      <c r="F244" s="196" t="s">
        <v>219</v>
      </c>
      <c r="G244" s="196" t="s">
        <v>164</v>
      </c>
      <c r="H244">
        <f t="shared" si="71"/>
        <v>21</v>
      </c>
    </row>
    <row r="245" spans="1:8" x14ac:dyDescent="0.35">
      <c r="A245" s="196"/>
      <c r="B245" s="196"/>
      <c r="C245" s="222" t="str">
        <f t="shared" si="113"/>
        <v>180</v>
      </c>
      <c r="D245" s="196" t="s">
        <v>221</v>
      </c>
      <c r="E245" s="209" t="s">
        <v>632</v>
      </c>
      <c r="F245" s="196" t="s">
        <v>219</v>
      </c>
      <c r="G245" s="196" t="s">
        <v>164</v>
      </c>
      <c r="H245">
        <f t="shared" si="71"/>
        <v>29</v>
      </c>
    </row>
    <row r="246" spans="1:8" x14ac:dyDescent="0.35">
      <c r="A246" s="196"/>
      <c r="B246" s="196"/>
      <c r="C246" s="222" t="str">
        <f t="shared" si="113"/>
        <v>180</v>
      </c>
      <c r="D246" s="196" t="s">
        <v>222</v>
      </c>
      <c r="E246" s="208" t="s">
        <v>342</v>
      </c>
      <c r="F246" s="196" t="s">
        <v>219</v>
      </c>
      <c r="G246" s="196" t="s">
        <v>217</v>
      </c>
      <c r="H246">
        <f t="shared" si="71"/>
        <v>21</v>
      </c>
    </row>
    <row r="247" spans="1:8" x14ac:dyDescent="0.35">
      <c r="A247" s="196"/>
      <c r="B247" s="196"/>
      <c r="C247" s="222" t="str">
        <f t="shared" si="113"/>
        <v>180</v>
      </c>
      <c r="D247" s="196" t="s">
        <v>303</v>
      </c>
      <c r="E247" s="213" t="s">
        <v>583</v>
      </c>
      <c r="F247" s="196" t="s">
        <v>247</v>
      </c>
      <c r="G247" s="196" t="s">
        <v>164</v>
      </c>
      <c r="H247">
        <f t="shared" si="71"/>
        <v>24</v>
      </c>
    </row>
    <row r="248" spans="1:8" x14ac:dyDescent="0.35">
      <c r="A248" s="196"/>
      <c r="B248" s="196"/>
      <c r="C248" s="222" t="str">
        <f t="shared" si="113"/>
        <v>180</v>
      </c>
      <c r="D248" s="196" t="s">
        <v>304</v>
      </c>
      <c r="E248" s="213" t="s">
        <v>581</v>
      </c>
      <c r="F248" s="196" t="s">
        <v>247</v>
      </c>
      <c r="G248" s="196" t="s">
        <v>164</v>
      </c>
      <c r="H248">
        <f t="shared" ref="H248:H349" si="114">LEN(E248)</f>
        <v>25</v>
      </c>
    </row>
    <row r="249" spans="1:8" x14ac:dyDescent="0.35">
      <c r="A249" s="196"/>
      <c r="B249" s="196"/>
      <c r="C249" s="222" t="str">
        <f t="shared" si="113"/>
        <v>180</v>
      </c>
      <c r="D249" s="196" t="s">
        <v>286</v>
      </c>
      <c r="E249" s="208" t="s">
        <v>314</v>
      </c>
      <c r="F249" s="196" t="s">
        <v>219</v>
      </c>
      <c r="G249" s="196" t="s">
        <v>217</v>
      </c>
      <c r="H249">
        <f t="shared" si="114"/>
        <v>24</v>
      </c>
    </row>
    <row r="250" spans="1:8" x14ac:dyDescent="0.35">
      <c r="A250" s="196"/>
      <c r="B250" s="196"/>
      <c r="C250" s="222" t="str">
        <f t="shared" si="113"/>
        <v>180</v>
      </c>
      <c r="D250" s="196" t="s">
        <v>329</v>
      </c>
      <c r="E250" s="213" t="s">
        <v>598</v>
      </c>
      <c r="F250" s="196" t="s">
        <v>247</v>
      </c>
      <c r="G250" s="196" t="s">
        <v>164</v>
      </c>
      <c r="H250">
        <f t="shared" si="114"/>
        <v>21</v>
      </c>
    </row>
    <row r="251" spans="1:8" x14ac:dyDescent="0.35">
      <c r="A251" s="196"/>
      <c r="B251" s="196"/>
      <c r="C251" s="222" t="str">
        <f t="shared" si="113"/>
        <v>180</v>
      </c>
      <c r="D251" s="196" t="s">
        <v>330</v>
      </c>
      <c r="E251" s="213" t="s">
        <v>492</v>
      </c>
      <c r="F251" s="196" t="s">
        <v>247</v>
      </c>
      <c r="G251" s="196" t="s">
        <v>164</v>
      </c>
      <c r="H251">
        <f t="shared" si="114"/>
        <v>23</v>
      </c>
    </row>
    <row r="252" spans="1:8" x14ac:dyDescent="0.35">
      <c r="A252" s="196" t="s">
        <v>250</v>
      </c>
      <c r="B252" s="196" t="s">
        <v>343</v>
      </c>
      <c r="C252" s="222" t="str">
        <f t="shared" si="113"/>
        <v>185</v>
      </c>
      <c r="D252" s="196"/>
      <c r="E252" s="205" t="s">
        <v>344</v>
      </c>
      <c r="F252" s="196" t="s">
        <v>216</v>
      </c>
      <c r="G252" s="196" t="s">
        <v>217</v>
      </c>
      <c r="H252">
        <f t="shared" si="114"/>
        <v>25</v>
      </c>
    </row>
    <row r="253" spans="1:8" x14ac:dyDescent="0.35">
      <c r="A253" s="196"/>
      <c r="B253" s="196"/>
      <c r="C253" s="222" t="str">
        <f t="shared" si="113"/>
        <v>185</v>
      </c>
      <c r="D253" s="196" t="s">
        <v>218</v>
      </c>
      <c r="E253" s="209" t="s">
        <v>634</v>
      </c>
      <c r="F253" s="196" t="s">
        <v>219</v>
      </c>
      <c r="G253" s="196" t="s">
        <v>164</v>
      </c>
      <c r="H253">
        <f t="shared" si="114"/>
        <v>24</v>
      </c>
    </row>
    <row r="254" spans="1:8" x14ac:dyDescent="0.35">
      <c r="A254" s="196"/>
      <c r="B254" s="196"/>
      <c r="C254" s="222" t="str">
        <f t="shared" si="113"/>
        <v>185</v>
      </c>
      <c r="D254" s="196" t="s">
        <v>221</v>
      </c>
      <c r="E254" s="209" t="s">
        <v>635</v>
      </c>
      <c r="F254" s="196" t="s">
        <v>219</v>
      </c>
      <c r="G254" s="196" t="s">
        <v>164</v>
      </c>
      <c r="H254">
        <f t="shared" si="114"/>
        <v>24</v>
      </c>
    </row>
    <row r="255" spans="1:8" x14ac:dyDescent="0.35">
      <c r="A255" s="196"/>
      <c r="B255" s="196"/>
      <c r="C255" s="222" t="str">
        <f t="shared" si="113"/>
        <v>185</v>
      </c>
      <c r="D255" s="196" t="s">
        <v>286</v>
      </c>
      <c r="E255" s="208" t="s">
        <v>314</v>
      </c>
      <c r="F255" s="196" t="s">
        <v>219</v>
      </c>
      <c r="G255" s="196" t="s">
        <v>217</v>
      </c>
      <c r="H255">
        <f t="shared" si="114"/>
        <v>24</v>
      </c>
    </row>
    <row r="256" spans="1:8" x14ac:dyDescent="0.35">
      <c r="A256" s="196"/>
      <c r="B256" s="196"/>
      <c r="C256" s="222" t="str">
        <f t="shared" si="113"/>
        <v>185</v>
      </c>
      <c r="D256" s="196" t="s">
        <v>329</v>
      </c>
      <c r="E256" s="213" t="s">
        <v>598</v>
      </c>
      <c r="F256" s="196" t="s">
        <v>247</v>
      </c>
      <c r="G256" s="196" t="s">
        <v>164</v>
      </c>
      <c r="H256">
        <f t="shared" si="114"/>
        <v>21</v>
      </c>
    </row>
    <row r="257" spans="1:9" x14ac:dyDescent="0.35">
      <c r="A257" s="196"/>
      <c r="B257" s="196"/>
      <c r="C257" s="222" t="str">
        <f t="shared" si="113"/>
        <v>185</v>
      </c>
      <c r="D257" s="196" t="s">
        <v>330</v>
      </c>
      <c r="E257" s="213" t="s">
        <v>492</v>
      </c>
      <c r="F257" s="196" t="s">
        <v>247</v>
      </c>
      <c r="G257" s="196" t="s">
        <v>164</v>
      </c>
      <c r="H257">
        <f t="shared" si="114"/>
        <v>23</v>
      </c>
    </row>
    <row r="258" spans="1:9" x14ac:dyDescent="0.35">
      <c r="A258" s="196" t="s">
        <v>250</v>
      </c>
      <c r="B258" s="196" t="s">
        <v>345</v>
      </c>
      <c r="C258" s="222" t="str">
        <f t="shared" si="113"/>
        <v>190</v>
      </c>
      <c r="D258" s="196"/>
      <c r="E258" s="205" t="s">
        <v>346</v>
      </c>
      <c r="F258" s="196" t="s">
        <v>216</v>
      </c>
      <c r="G258" s="196" t="s">
        <v>217</v>
      </c>
      <c r="H258">
        <f t="shared" si="114"/>
        <v>25</v>
      </c>
    </row>
    <row r="259" spans="1:9" x14ac:dyDescent="0.35">
      <c r="A259" s="196"/>
      <c r="B259" s="196"/>
      <c r="C259" s="222" t="str">
        <f t="shared" si="113"/>
        <v>190</v>
      </c>
      <c r="D259" s="196" t="s">
        <v>218</v>
      </c>
      <c r="E259" s="209" t="s">
        <v>636</v>
      </c>
      <c r="F259" s="196" t="s">
        <v>219</v>
      </c>
      <c r="G259" s="196" t="s">
        <v>164</v>
      </c>
      <c r="H259">
        <f t="shared" si="114"/>
        <v>24</v>
      </c>
    </row>
    <row r="260" spans="1:9" x14ac:dyDescent="0.35">
      <c r="A260" s="196"/>
      <c r="B260" s="196"/>
      <c r="C260" s="222" t="str">
        <f t="shared" si="113"/>
        <v>190</v>
      </c>
      <c r="D260" s="196" t="s">
        <v>221</v>
      </c>
      <c r="E260" s="209" t="s">
        <v>637</v>
      </c>
      <c r="F260" s="196" t="s">
        <v>219</v>
      </c>
      <c r="G260" s="196" t="s">
        <v>164</v>
      </c>
      <c r="H260">
        <f t="shared" si="114"/>
        <v>25</v>
      </c>
    </row>
    <row r="261" spans="1:9" x14ac:dyDescent="0.35">
      <c r="A261" s="196"/>
      <c r="B261" s="196"/>
      <c r="C261" s="222" t="str">
        <f t="shared" ref="C261:C262" si="115">IF(B261="",C260,B261)</f>
        <v>190</v>
      </c>
      <c r="D261" s="196" t="s">
        <v>222</v>
      </c>
      <c r="E261" s="209" t="s">
        <v>1071</v>
      </c>
      <c r="F261" s="196" t="s">
        <v>219</v>
      </c>
      <c r="G261" s="196" t="s">
        <v>164</v>
      </c>
      <c r="H261">
        <f t="shared" ref="H261:H262" si="116">LEN(E261)</f>
        <v>39</v>
      </c>
      <c r="I261">
        <v>109.23</v>
      </c>
    </row>
    <row r="262" spans="1:9" x14ac:dyDescent="0.35">
      <c r="A262" s="196"/>
      <c r="B262" s="196"/>
      <c r="C262" s="222" t="str">
        <f t="shared" si="115"/>
        <v>190</v>
      </c>
      <c r="D262" s="196" t="s">
        <v>223</v>
      </c>
      <c r="E262" s="209" t="s">
        <v>1072</v>
      </c>
      <c r="F262" s="196" t="s">
        <v>219</v>
      </c>
      <c r="G262" s="196" t="s">
        <v>164</v>
      </c>
      <c r="H262">
        <f t="shared" si="116"/>
        <v>29</v>
      </c>
      <c r="I262">
        <v>109.23</v>
      </c>
    </row>
    <row r="263" spans="1:9" x14ac:dyDescent="0.35">
      <c r="A263" s="196"/>
      <c r="B263" s="196"/>
      <c r="C263" s="222" t="str">
        <f t="shared" ref="C263" si="117">IF(B263="",C262,B263)</f>
        <v>190</v>
      </c>
      <c r="D263" s="196" t="s">
        <v>224</v>
      </c>
      <c r="E263" s="209" t="s">
        <v>1090</v>
      </c>
      <c r="F263" s="196" t="s">
        <v>219</v>
      </c>
      <c r="G263" s="196" t="s">
        <v>164</v>
      </c>
      <c r="H263">
        <f t="shared" ref="H263" si="118">LEN(E263)</f>
        <v>19</v>
      </c>
      <c r="I263">
        <v>109.23</v>
      </c>
    </row>
    <row r="264" spans="1:9" x14ac:dyDescent="0.35">
      <c r="A264" s="196"/>
      <c r="B264" s="196"/>
      <c r="C264" s="222" t="str">
        <f t="shared" ref="C264" si="119">IF(B264="",C263,B264)</f>
        <v>190</v>
      </c>
      <c r="D264" s="196" t="s">
        <v>225</v>
      </c>
      <c r="E264" s="209" t="s">
        <v>1091</v>
      </c>
      <c r="F264" s="196" t="s">
        <v>219</v>
      </c>
      <c r="G264" s="196" t="s">
        <v>164</v>
      </c>
      <c r="H264">
        <f t="shared" ref="H264" si="120">LEN(E264)</f>
        <v>12</v>
      </c>
      <c r="I264">
        <v>109.23</v>
      </c>
    </row>
    <row r="265" spans="1:9" ht="15.5" customHeight="1" x14ac:dyDescent="0.35">
      <c r="A265" s="196"/>
      <c r="B265" s="196"/>
      <c r="C265" s="222" t="str">
        <f t="shared" ref="C265" si="121">IF(B265="",C264,B265)</f>
        <v>190</v>
      </c>
      <c r="D265" s="196" t="s">
        <v>226</v>
      </c>
      <c r="E265" s="209" t="s">
        <v>1096</v>
      </c>
      <c r="F265" s="196" t="s">
        <v>219</v>
      </c>
      <c r="G265" s="196" t="s">
        <v>164</v>
      </c>
      <c r="H265">
        <f t="shared" ref="H265" si="122">LEN(E265)</f>
        <v>13</v>
      </c>
      <c r="I265">
        <v>109.23</v>
      </c>
    </row>
    <row r="266" spans="1:9" x14ac:dyDescent="0.35">
      <c r="A266" s="196"/>
      <c r="B266" s="196"/>
      <c r="C266" s="222" t="str">
        <f t="shared" ref="C266" si="123">IF(B266="",C265,B266)</f>
        <v>190</v>
      </c>
      <c r="D266" s="196" t="s">
        <v>227</v>
      </c>
      <c r="E266" s="209" t="s">
        <v>454</v>
      </c>
      <c r="F266" s="196" t="s">
        <v>219</v>
      </c>
      <c r="G266" s="196" t="s">
        <v>164</v>
      </c>
      <c r="H266">
        <f t="shared" ref="H266" si="124">LEN(E266)</f>
        <v>13</v>
      </c>
    </row>
    <row r="267" spans="1:9" x14ac:dyDescent="0.35">
      <c r="A267" s="196"/>
      <c r="B267" s="196"/>
      <c r="C267" s="222" t="str">
        <f t="shared" ref="C267" si="125">IF(B267="",C266,B267)</f>
        <v>190</v>
      </c>
      <c r="D267" s="196" t="s">
        <v>1156</v>
      </c>
      <c r="E267" s="209" t="s">
        <v>555</v>
      </c>
      <c r="F267" s="196" t="s">
        <v>219</v>
      </c>
      <c r="G267" s="196" t="s">
        <v>164</v>
      </c>
      <c r="H267">
        <f t="shared" ref="H267" si="126">LEN(E267)</f>
        <v>15</v>
      </c>
    </row>
    <row r="268" spans="1:9" x14ac:dyDescent="0.35">
      <c r="A268" s="196" t="s">
        <v>250</v>
      </c>
      <c r="B268" s="196" t="s">
        <v>907</v>
      </c>
      <c r="C268" s="222" t="str">
        <f>IF(B268="",C260,B268)</f>
        <v>191</v>
      </c>
      <c r="D268" s="196"/>
      <c r="E268" s="205" t="s">
        <v>391</v>
      </c>
      <c r="F268" s="196" t="s">
        <v>216</v>
      </c>
      <c r="G268" s="196" t="s">
        <v>217</v>
      </c>
      <c r="H268">
        <f t="shared" ref="H268:H269" si="127">LEN(E268)</f>
        <v>12</v>
      </c>
    </row>
    <row r="269" spans="1:9" x14ac:dyDescent="0.35">
      <c r="A269" s="196"/>
      <c r="B269" s="196"/>
      <c r="C269" s="222" t="str">
        <f t="shared" ref="C269" si="128">IF(B269="",C268,B269)</f>
        <v>191</v>
      </c>
      <c r="D269" s="196" t="s">
        <v>218</v>
      </c>
      <c r="E269" s="209" t="s">
        <v>662</v>
      </c>
      <c r="F269" s="196" t="s">
        <v>219</v>
      </c>
      <c r="G269" s="196" t="s">
        <v>164</v>
      </c>
      <c r="H269">
        <f t="shared" si="127"/>
        <v>12</v>
      </c>
    </row>
    <row r="270" spans="1:9" x14ac:dyDescent="0.35">
      <c r="A270" s="196" t="s">
        <v>250</v>
      </c>
      <c r="B270" s="196" t="s">
        <v>915</v>
      </c>
      <c r="C270" s="222" t="str">
        <f t="shared" ref="C270:C271" si="129">IF(B270="",C269,B270)</f>
        <v>192</v>
      </c>
      <c r="D270" s="196"/>
      <c r="E270" s="205" t="s">
        <v>916</v>
      </c>
      <c r="F270" s="196" t="s">
        <v>216</v>
      </c>
      <c r="G270" s="196" t="s">
        <v>217</v>
      </c>
      <c r="H270">
        <f t="shared" ref="H270:H271" si="130">LEN(E270)</f>
        <v>25</v>
      </c>
    </row>
    <row r="271" spans="1:9" x14ac:dyDescent="0.35">
      <c r="A271" s="196"/>
      <c r="B271" s="196"/>
      <c r="C271" s="222" t="str">
        <f t="shared" si="129"/>
        <v>192</v>
      </c>
      <c r="D271" s="196" t="s">
        <v>218</v>
      </c>
      <c r="E271" s="209" t="s">
        <v>917</v>
      </c>
      <c r="F271" s="196" t="s">
        <v>219</v>
      </c>
      <c r="G271" s="196" t="s">
        <v>164</v>
      </c>
      <c r="H271">
        <f t="shared" si="130"/>
        <v>25</v>
      </c>
    </row>
    <row r="272" spans="1:9" x14ac:dyDescent="0.35">
      <c r="A272" s="196" t="s">
        <v>250</v>
      </c>
      <c r="B272" s="196" t="s">
        <v>347</v>
      </c>
      <c r="C272" s="222" t="str">
        <f>IF(B272="",C260,B272)</f>
        <v>2</v>
      </c>
      <c r="D272" s="196"/>
      <c r="E272" s="196" t="s">
        <v>348</v>
      </c>
      <c r="F272" s="196" t="s">
        <v>252</v>
      </c>
      <c r="G272" s="196" t="s">
        <v>217</v>
      </c>
      <c r="H272">
        <f t="shared" si="114"/>
        <v>6</v>
      </c>
    </row>
    <row r="273" spans="1:9" x14ac:dyDescent="0.35">
      <c r="A273" s="196" t="s">
        <v>250</v>
      </c>
      <c r="B273" s="196" t="s">
        <v>246</v>
      </c>
      <c r="C273" s="222" t="str">
        <f t="shared" si="113"/>
        <v>20</v>
      </c>
      <c r="D273" s="196"/>
      <c r="E273" s="204" t="s">
        <v>349</v>
      </c>
      <c r="F273" s="196" t="s">
        <v>254</v>
      </c>
      <c r="G273" s="196" t="s">
        <v>217</v>
      </c>
      <c r="H273">
        <f t="shared" si="114"/>
        <v>20</v>
      </c>
    </row>
    <row r="274" spans="1:9" x14ac:dyDescent="0.35">
      <c r="A274" s="196" t="s">
        <v>250</v>
      </c>
      <c r="B274" s="196" t="s">
        <v>350</v>
      </c>
      <c r="C274" s="222" t="str">
        <f t="shared" si="113"/>
        <v>200</v>
      </c>
      <c r="D274" s="196"/>
      <c r="E274" s="205" t="s">
        <v>351</v>
      </c>
      <c r="F274" s="196" t="s">
        <v>216</v>
      </c>
      <c r="G274" s="196" t="s">
        <v>217</v>
      </c>
      <c r="H274">
        <f t="shared" si="114"/>
        <v>17</v>
      </c>
    </row>
    <row r="275" spans="1:9" x14ac:dyDescent="0.35">
      <c r="A275" s="196"/>
      <c r="B275" s="196"/>
      <c r="C275" s="222" t="str">
        <f t="shared" si="113"/>
        <v>200</v>
      </c>
      <c r="D275" s="196" t="s">
        <v>218</v>
      </c>
      <c r="E275" s="209" t="s">
        <v>493</v>
      </c>
      <c r="F275" s="196" t="s">
        <v>219</v>
      </c>
      <c r="G275" s="196" t="s">
        <v>164</v>
      </c>
      <c r="H275">
        <f t="shared" si="114"/>
        <v>7</v>
      </c>
    </row>
    <row r="276" spans="1:9" x14ac:dyDescent="0.35">
      <c r="A276" s="196"/>
      <c r="B276" s="196"/>
      <c r="C276" s="222" t="str">
        <f t="shared" si="113"/>
        <v>200</v>
      </c>
      <c r="D276" s="196" t="s">
        <v>221</v>
      </c>
      <c r="E276" s="209" t="s">
        <v>494</v>
      </c>
      <c r="F276" s="196" t="s">
        <v>219</v>
      </c>
      <c r="G276" s="196" t="s">
        <v>164</v>
      </c>
      <c r="H276">
        <f t="shared" si="114"/>
        <v>10</v>
      </c>
    </row>
    <row r="277" spans="1:9" x14ac:dyDescent="0.35">
      <c r="A277" s="196"/>
      <c r="B277" s="196"/>
      <c r="C277" s="222" t="str">
        <f t="shared" si="113"/>
        <v>200</v>
      </c>
      <c r="D277" s="196" t="s">
        <v>222</v>
      </c>
      <c r="E277" s="209" t="s">
        <v>352</v>
      </c>
      <c r="F277" s="196" t="s">
        <v>219</v>
      </c>
      <c r="G277" s="196" t="s">
        <v>164</v>
      </c>
      <c r="H277">
        <f t="shared" si="114"/>
        <v>3</v>
      </c>
    </row>
    <row r="278" spans="1:9" x14ac:dyDescent="0.35">
      <c r="A278" s="196"/>
      <c r="B278" s="196"/>
      <c r="C278" s="222" t="str">
        <f t="shared" ref="C278:C285" si="131">IF(B278="",C277,B278)</f>
        <v>200</v>
      </c>
      <c r="D278" s="196" t="s">
        <v>223</v>
      </c>
      <c r="E278" s="209" t="s">
        <v>993</v>
      </c>
      <c r="F278" s="196" t="s">
        <v>219</v>
      </c>
      <c r="G278" s="196" t="s">
        <v>164</v>
      </c>
      <c r="H278">
        <f t="shared" ref="H278:H282" si="132">LEN(E278)</f>
        <v>10</v>
      </c>
    </row>
    <row r="279" spans="1:9" x14ac:dyDescent="0.35">
      <c r="A279" s="196"/>
      <c r="B279" s="196"/>
      <c r="C279" s="222" t="str">
        <f t="shared" ref="C279" si="133">IF(B279="",C278,B279)</f>
        <v>200</v>
      </c>
      <c r="D279" s="196" t="s">
        <v>224</v>
      </c>
      <c r="E279" s="209" t="s">
        <v>1000</v>
      </c>
      <c r="F279" s="196" t="s">
        <v>219</v>
      </c>
      <c r="G279" s="196" t="s">
        <v>164</v>
      </c>
      <c r="H279">
        <f t="shared" ref="H279" si="134">LEN(E279)</f>
        <v>8</v>
      </c>
    </row>
    <row r="280" spans="1:9" x14ac:dyDescent="0.35">
      <c r="A280" s="196"/>
      <c r="B280" s="196"/>
      <c r="C280" s="222" t="str">
        <f t="shared" ref="C280:C281" si="135">IF(B280="",C279,B280)</f>
        <v>200</v>
      </c>
      <c r="D280" s="196" t="s">
        <v>225</v>
      </c>
      <c r="E280" s="209" t="s">
        <v>874</v>
      </c>
      <c r="F280" s="196" t="s">
        <v>219</v>
      </c>
      <c r="G280" s="196" t="s">
        <v>164</v>
      </c>
      <c r="H280">
        <f t="shared" ref="H280:H281" si="136">LEN(E280)</f>
        <v>10</v>
      </c>
    </row>
    <row r="281" spans="1:9" x14ac:dyDescent="0.35">
      <c r="A281" s="196"/>
      <c r="B281" s="196"/>
      <c r="C281" s="222" t="str">
        <f t="shared" si="135"/>
        <v>200</v>
      </c>
      <c r="D281" s="196" t="s">
        <v>226</v>
      </c>
      <c r="E281" s="209" t="s">
        <v>749</v>
      </c>
      <c r="F281" s="196" t="s">
        <v>219</v>
      </c>
      <c r="G281" s="196" t="s">
        <v>164</v>
      </c>
      <c r="H281">
        <f t="shared" si="136"/>
        <v>16</v>
      </c>
    </row>
    <row r="282" spans="1:9" x14ac:dyDescent="0.35">
      <c r="A282" s="196" t="s">
        <v>250</v>
      </c>
      <c r="B282" s="196" t="s">
        <v>997</v>
      </c>
      <c r="C282" s="222" t="str">
        <f>IF(B282="",C278,B282)</f>
        <v>201</v>
      </c>
      <c r="D282" s="196"/>
      <c r="E282" s="205" t="s">
        <v>998</v>
      </c>
      <c r="F282" s="196" t="s">
        <v>216</v>
      </c>
      <c r="G282" s="196" t="s">
        <v>217</v>
      </c>
      <c r="H282">
        <f t="shared" si="132"/>
        <v>21</v>
      </c>
      <c r="I282">
        <v>218</v>
      </c>
    </row>
    <row r="283" spans="1:9" x14ac:dyDescent="0.35">
      <c r="A283" s="196"/>
      <c r="B283" s="196"/>
      <c r="C283" s="222" t="str">
        <f t="shared" si="131"/>
        <v>201</v>
      </c>
      <c r="D283" s="196" t="s">
        <v>218</v>
      </c>
      <c r="E283" s="209" t="s">
        <v>994</v>
      </c>
      <c r="F283" s="196" t="s">
        <v>219</v>
      </c>
      <c r="G283" s="196" t="s">
        <v>164</v>
      </c>
      <c r="H283">
        <f t="shared" ref="H283:H288" si="137">LEN(E283)</f>
        <v>18</v>
      </c>
      <c r="I283">
        <v>218.01</v>
      </c>
    </row>
    <row r="284" spans="1:9" x14ac:dyDescent="0.35">
      <c r="A284" s="196"/>
      <c r="B284" s="196"/>
      <c r="C284" s="222" t="str">
        <f t="shared" si="131"/>
        <v>201</v>
      </c>
      <c r="D284" s="196" t="s">
        <v>221</v>
      </c>
      <c r="E284" s="209" t="s">
        <v>995</v>
      </c>
      <c r="F284" s="196" t="s">
        <v>219</v>
      </c>
      <c r="G284" s="196" t="s">
        <v>164</v>
      </c>
      <c r="H284">
        <f t="shared" si="137"/>
        <v>16</v>
      </c>
      <c r="I284">
        <v>218.01</v>
      </c>
    </row>
    <row r="285" spans="1:9" ht="16" customHeight="1" x14ac:dyDescent="0.35">
      <c r="A285" s="196"/>
      <c r="B285" s="196"/>
      <c r="C285" s="222" t="str">
        <f t="shared" si="131"/>
        <v>201</v>
      </c>
      <c r="D285" s="196" t="s">
        <v>222</v>
      </c>
      <c r="E285" s="209" t="s">
        <v>996</v>
      </c>
      <c r="F285" s="196" t="s">
        <v>219</v>
      </c>
      <c r="G285" s="196" t="s">
        <v>164</v>
      </c>
      <c r="H285">
        <f t="shared" si="137"/>
        <v>19</v>
      </c>
      <c r="I285">
        <v>218.01</v>
      </c>
    </row>
    <row r="286" spans="1:9" x14ac:dyDescent="0.35">
      <c r="A286" s="196"/>
      <c r="B286" s="196"/>
      <c r="C286" s="274">
        <v>201</v>
      </c>
      <c r="D286" s="196" t="s">
        <v>223</v>
      </c>
      <c r="E286" s="209" t="s">
        <v>989</v>
      </c>
      <c r="F286" s="196" t="s">
        <v>219</v>
      </c>
      <c r="G286" s="196" t="s">
        <v>164</v>
      </c>
      <c r="H286">
        <f t="shared" si="137"/>
        <v>17</v>
      </c>
      <c r="I286">
        <v>218.01</v>
      </c>
    </row>
    <row r="287" spans="1:9" x14ac:dyDescent="0.35">
      <c r="A287" s="196"/>
      <c r="B287" s="196"/>
      <c r="C287" s="274">
        <v>201</v>
      </c>
      <c r="D287" s="196" t="s">
        <v>224</v>
      </c>
      <c r="E287" s="209" t="s">
        <v>1115</v>
      </c>
      <c r="F287" s="196" t="s">
        <v>219</v>
      </c>
      <c r="G287" s="196" t="s">
        <v>164</v>
      </c>
      <c r="H287">
        <f t="shared" si="137"/>
        <v>17</v>
      </c>
      <c r="I287">
        <v>218.01</v>
      </c>
    </row>
    <row r="288" spans="1:9" x14ac:dyDescent="0.35">
      <c r="A288" s="196" t="s">
        <v>250</v>
      </c>
      <c r="B288" s="196" t="s">
        <v>1118</v>
      </c>
      <c r="C288" s="222" t="str">
        <f>IF(B288="",C284,B288)</f>
        <v>202</v>
      </c>
      <c r="D288" s="196"/>
      <c r="E288" s="205" t="s">
        <v>1119</v>
      </c>
      <c r="F288" s="196" t="s">
        <v>216</v>
      </c>
      <c r="G288" s="196" t="s">
        <v>217</v>
      </c>
      <c r="H288">
        <f t="shared" si="137"/>
        <v>10</v>
      </c>
      <c r="I288">
        <v>210</v>
      </c>
    </row>
    <row r="289" spans="1:9" x14ac:dyDescent="0.35">
      <c r="A289" s="196"/>
      <c r="B289" s="196"/>
      <c r="C289" s="222" t="str">
        <f t="shared" ref="C289" si="138">IF(B289="",C288,B289)</f>
        <v>202</v>
      </c>
      <c r="D289" s="196" t="s">
        <v>218</v>
      </c>
      <c r="E289" s="209" t="s">
        <v>1120</v>
      </c>
      <c r="F289" s="196" t="s">
        <v>219</v>
      </c>
      <c r="G289" s="196" t="s">
        <v>164</v>
      </c>
      <c r="H289">
        <f t="shared" ref="H289" si="139">LEN(E289)</f>
        <v>10</v>
      </c>
      <c r="I289">
        <v>210.01</v>
      </c>
    </row>
    <row r="290" spans="1:9" x14ac:dyDescent="0.35">
      <c r="A290" s="196" t="s">
        <v>250</v>
      </c>
      <c r="B290" s="196" t="s">
        <v>353</v>
      </c>
      <c r="C290" s="222" t="str">
        <f>IF(B290="",C277,B290)</f>
        <v>205</v>
      </c>
      <c r="D290" s="196"/>
      <c r="E290" s="205" t="s">
        <v>354</v>
      </c>
      <c r="F290" s="196" t="s">
        <v>216</v>
      </c>
      <c r="G290" s="196" t="s">
        <v>217</v>
      </c>
      <c r="H290">
        <f t="shared" si="114"/>
        <v>19</v>
      </c>
    </row>
    <row r="291" spans="1:9" x14ac:dyDescent="0.35">
      <c r="A291" s="196"/>
      <c r="B291" s="196"/>
      <c r="C291" s="222" t="str">
        <f t="shared" si="113"/>
        <v>205</v>
      </c>
      <c r="D291" s="196" t="s">
        <v>218</v>
      </c>
      <c r="E291" s="208" t="s">
        <v>355</v>
      </c>
      <c r="F291" s="196" t="s">
        <v>219</v>
      </c>
      <c r="G291" s="196" t="s">
        <v>217</v>
      </c>
      <c r="H291">
        <f t="shared" si="114"/>
        <v>4</v>
      </c>
    </row>
    <row r="292" spans="1:9" x14ac:dyDescent="0.35">
      <c r="A292" s="196"/>
      <c r="B292" s="196"/>
      <c r="C292" s="222" t="str">
        <f t="shared" si="113"/>
        <v>205</v>
      </c>
      <c r="D292" s="196" t="s">
        <v>53</v>
      </c>
      <c r="E292" s="213" t="s">
        <v>638</v>
      </c>
      <c r="F292" s="196" t="s">
        <v>247</v>
      </c>
      <c r="G292" s="196" t="s">
        <v>164</v>
      </c>
      <c r="H292">
        <f t="shared" si="114"/>
        <v>11</v>
      </c>
    </row>
    <row r="293" spans="1:9" x14ac:dyDescent="0.35">
      <c r="A293" s="196"/>
      <c r="B293" s="196"/>
      <c r="C293" s="222" t="str">
        <f t="shared" si="113"/>
        <v>205</v>
      </c>
      <c r="D293" s="196" t="s">
        <v>55</v>
      </c>
      <c r="E293" s="213" t="s">
        <v>639</v>
      </c>
      <c r="F293" s="196" t="s">
        <v>247</v>
      </c>
      <c r="G293" s="196" t="s">
        <v>164</v>
      </c>
      <c r="H293">
        <f t="shared" si="114"/>
        <v>19</v>
      </c>
    </row>
    <row r="294" spans="1:9" x14ac:dyDescent="0.35">
      <c r="A294" s="196"/>
      <c r="B294" s="196"/>
      <c r="C294" s="222" t="str">
        <f t="shared" si="113"/>
        <v>205</v>
      </c>
      <c r="D294" s="196" t="s">
        <v>57</v>
      </c>
      <c r="E294" s="213" t="s">
        <v>495</v>
      </c>
      <c r="F294" s="196" t="s">
        <v>247</v>
      </c>
      <c r="G294" s="196" t="s">
        <v>164</v>
      </c>
      <c r="H294">
        <f t="shared" si="114"/>
        <v>27</v>
      </c>
    </row>
    <row r="295" spans="1:9" x14ac:dyDescent="0.35">
      <c r="A295" s="196"/>
      <c r="B295" s="196"/>
      <c r="C295" s="222" t="str">
        <f t="shared" si="113"/>
        <v>205</v>
      </c>
      <c r="D295" s="196" t="s">
        <v>59</v>
      </c>
      <c r="E295" s="213" t="s">
        <v>496</v>
      </c>
      <c r="F295" s="196" t="s">
        <v>247</v>
      </c>
      <c r="G295" s="196" t="s">
        <v>164</v>
      </c>
      <c r="H295">
        <f t="shared" si="114"/>
        <v>28</v>
      </c>
    </row>
    <row r="296" spans="1:9" x14ac:dyDescent="0.35">
      <c r="A296" s="196"/>
      <c r="B296" s="261"/>
      <c r="C296" s="262" t="str">
        <f t="shared" ref="C296" si="140">IF(B296="",C295,B296)</f>
        <v>205</v>
      </c>
      <c r="D296" s="261" t="s">
        <v>229</v>
      </c>
      <c r="E296" s="263" t="s">
        <v>989</v>
      </c>
      <c r="F296" s="196" t="s">
        <v>247</v>
      </c>
      <c r="G296" s="196" t="s">
        <v>164</v>
      </c>
      <c r="H296">
        <f t="shared" ref="H296" si="141">LEN(E296)</f>
        <v>17</v>
      </c>
      <c r="I296" t="s">
        <v>999</v>
      </c>
    </row>
    <row r="297" spans="1:9" x14ac:dyDescent="0.35">
      <c r="A297" s="196"/>
      <c r="B297" s="196"/>
      <c r="C297" s="222" t="str">
        <f>IF(B297="",C295,B297)</f>
        <v>205</v>
      </c>
      <c r="D297" s="196" t="s">
        <v>221</v>
      </c>
      <c r="E297" s="208" t="s">
        <v>356</v>
      </c>
      <c r="F297" s="196" t="s">
        <v>219</v>
      </c>
      <c r="G297" s="196" t="s">
        <v>217</v>
      </c>
      <c r="H297">
        <f t="shared" si="114"/>
        <v>19</v>
      </c>
    </row>
    <row r="298" spans="1:9" x14ac:dyDescent="0.35">
      <c r="A298" s="196"/>
      <c r="B298" s="196"/>
      <c r="C298" s="222" t="str">
        <f t="shared" si="113"/>
        <v>205</v>
      </c>
      <c r="D298" s="196" t="s">
        <v>272</v>
      </c>
      <c r="E298" s="213" t="s">
        <v>497</v>
      </c>
      <c r="F298" s="196" t="s">
        <v>247</v>
      </c>
      <c r="G298" s="196" t="s">
        <v>164</v>
      </c>
      <c r="H298">
        <f t="shared" si="114"/>
        <v>21</v>
      </c>
    </row>
    <row r="299" spans="1:9" x14ac:dyDescent="0.35">
      <c r="A299" s="196"/>
      <c r="B299" s="196"/>
      <c r="C299" s="222" t="str">
        <f t="shared" si="113"/>
        <v>205</v>
      </c>
      <c r="D299" s="196" t="s">
        <v>275</v>
      </c>
      <c r="E299" s="213" t="s">
        <v>740</v>
      </c>
      <c r="F299" s="196" t="s">
        <v>247</v>
      </c>
      <c r="G299" s="196" t="s">
        <v>164</v>
      </c>
      <c r="H299">
        <f t="shared" ref="H299" si="142">LEN(E299)</f>
        <v>16</v>
      </c>
    </row>
    <row r="300" spans="1:9" x14ac:dyDescent="0.35">
      <c r="A300" s="196"/>
      <c r="B300" s="196"/>
      <c r="C300" s="222" t="str">
        <f t="shared" ref="C300" si="143">IF(B300="",C299,B300)</f>
        <v>205</v>
      </c>
      <c r="D300" s="196" t="s">
        <v>278</v>
      </c>
      <c r="E300" s="213" t="s">
        <v>871</v>
      </c>
      <c r="F300" s="196" t="s">
        <v>247</v>
      </c>
      <c r="G300" s="196" t="s">
        <v>164</v>
      </c>
      <c r="H300">
        <f t="shared" ref="H300" si="144">LEN(E300)</f>
        <v>26</v>
      </c>
    </row>
    <row r="301" spans="1:9" x14ac:dyDescent="0.35">
      <c r="A301" s="196"/>
      <c r="B301" s="196"/>
      <c r="C301" s="222" t="str">
        <f t="shared" ref="C301" si="145">IF(B301="",C300,B301)</f>
        <v>205</v>
      </c>
      <c r="D301" s="196" t="s">
        <v>281</v>
      </c>
      <c r="E301" s="213" t="s">
        <v>872</v>
      </c>
      <c r="F301" s="196" t="s">
        <v>247</v>
      </c>
      <c r="G301" s="196" t="s">
        <v>164</v>
      </c>
      <c r="H301">
        <f t="shared" ref="H301" si="146">LEN(E301)</f>
        <v>23</v>
      </c>
    </row>
    <row r="302" spans="1:9" x14ac:dyDescent="0.35">
      <c r="A302" s="196"/>
      <c r="B302" s="196"/>
      <c r="C302" s="223" t="str">
        <f t="shared" ref="C302" si="147">IF(B302="",C301,B302)</f>
        <v>205</v>
      </c>
      <c r="D302" s="224" t="s">
        <v>298</v>
      </c>
      <c r="E302" s="225" t="s">
        <v>1116</v>
      </c>
      <c r="F302" s="196" t="s">
        <v>247</v>
      </c>
      <c r="G302" s="196" t="s">
        <v>164</v>
      </c>
      <c r="H302">
        <f t="shared" ref="H302" si="148">LEN(E302)</f>
        <v>18</v>
      </c>
    </row>
    <row r="303" spans="1:9" x14ac:dyDescent="0.35">
      <c r="A303" s="196"/>
      <c r="B303" s="196"/>
      <c r="C303" s="222" t="str">
        <f>IF(B303="",C298,B303)</f>
        <v>205</v>
      </c>
      <c r="D303" s="196" t="s">
        <v>222</v>
      </c>
      <c r="E303" s="208" t="s">
        <v>357</v>
      </c>
      <c r="F303" s="196" t="s">
        <v>219</v>
      </c>
      <c r="G303" s="196" t="s">
        <v>217</v>
      </c>
      <c r="H303">
        <f t="shared" si="114"/>
        <v>19</v>
      </c>
    </row>
    <row r="304" spans="1:9" x14ac:dyDescent="0.35">
      <c r="A304" s="196"/>
      <c r="B304" s="196"/>
      <c r="C304" s="222" t="str">
        <f t="shared" ref="C304:C316" si="149">IF(B304="",C303,B304)</f>
        <v>205</v>
      </c>
      <c r="D304" s="196" t="s">
        <v>303</v>
      </c>
      <c r="E304" s="213" t="s">
        <v>1052</v>
      </c>
      <c r="F304" s="196" t="s">
        <v>247</v>
      </c>
      <c r="G304" s="196" t="s">
        <v>164</v>
      </c>
      <c r="H304">
        <f t="shared" si="114"/>
        <v>12</v>
      </c>
    </row>
    <row r="305" spans="1:9" x14ac:dyDescent="0.35">
      <c r="A305" s="196"/>
      <c r="B305" s="196"/>
      <c r="C305" s="222" t="str">
        <f t="shared" si="149"/>
        <v>205</v>
      </c>
      <c r="D305" s="196" t="s">
        <v>304</v>
      </c>
      <c r="E305" s="213" t="s">
        <v>358</v>
      </c>
      <c r="F305" s="196" t="s">
        <v>247</v>
      </c>
      <c r="G305" s="196" t="s">
        <v>164</v>
      </c>
      <c r="H305">
        <f t="shared" si="114"/>
        <v>3</v>
      </c>
    </row>
    <row r="306" spans="1:9" x14ac:dyDescent="0.35">
      <c r="A306" s="196"/>
      <c r="B306" s="196"/>
      <c r="C306" s="222" t="str">
        <f t="shared" si="149"/>
        <v>205</v>
      </c>
      <c r="D306" s="261" t="s">
        <v>305</v>
      </c>
      <c r="E306" s="264" t="s">
        <v>359</v>
      </c>
      <c r="F306" s="261" t="s">
        <v>247</v>
      </c>
      <c r="G306" s="261" t="s">
        <v>164</v>
      </c>
      <c r="H306" s="265">
        <f t="shared" si="114"/>
        <v>4</v>
      </c>
    </row>
    <row r="307" spans="1:9" x14ac:dyDescent="0.35">
      <c r="A307" s="196"/>
      <c r="B307" s="196"/>
      <c r="C307" s="222" t="str">
        <f t="shared" si="149"/>
        <v>205</v>
      </c>
      <c r="D307" s="261" t="s">
        <v>306</v>
      </c>
      <c r="E307" s="264" t="s">
        <v>360</v>
      </c>
      <c r="F307" s="261" t="s">
        <v>247</v>
      </c>
      <c r="G307" s="261" t="s">
        <v>164</v>
      </c>
      <c r="H307" s="265">
        <f t="shared" si="114"/>
        <v>3</v>
      </c>
    </row>
    <row r="308" spans="1:9" x14ac:dyDescent="0.35">
      <c r="A308" s="196"/>
      <c r="B308" s="196"/>
      <c r="C308" s="222" t="str">
        <f t="shared" si="149"/>
        <v>205</v>
      </c>
      <c r="D308" s="196" t="s">
        <v>307</v>
      </c>
      <c r="E308" s="213" t="s">
        <v>747</v>
      </c>
      <c r="F308" s="196" t="s">
        <v>247</v>
      </c>
      <c r="G308" s="196" t="s">
        <v>164</v>
      </c>
      <c r="H308">
        <f t="shared" si="114"/>
        <v>26</v>
      </c>
    </row>
    <row r="309" spans="1:9" x14ac:dyDescent="0.35">
      <c r="A309" s="196"/>
      <c r="B309" s="196"/>
      <c r="C309" s="222" t="str">
        <f t="shared" ref="C309" si="150">IF(B309="",C308,B309)</f>
        <v>205</v>
      </c>
      <c r="D309" s="196" t="s">
        <v>308</v>
      </c>
      <c r="E309" s="213" t="s">
        <v>913</v>
      </c>
      <c r="F309" s="196" t="s">
        <v>247</v>
      </c>
      <c r="G309" s="196" t="s">
        <v>164</v>
      </c>
      <c r="H309">
        <f t="shared" ref="H309" si="151">LEN(E309)</f>
        <v>13</v>
      </c>
    </row>
    <row r="310" spans="1:9" x14ac:dyDescent="0.35">
      <c r="A310" s="196"/>
      <c r="B310" s="196"/>
      <c r="C310" s="222" t="str">
        <f t="shared" ref="C310" si="152">IF(B310="",C309,B310)</f>
        <v>205</v>
      </c>
      <c r="D310" s="196" t="s">
        <v>309</v>
      </c>
      <c r="E310" s="213" t="s">
        <v>991</v>
      </c>
      <c r="F310" s="196" t="s">
        <v>247</v>
      </c>
      <c r="G310" s="196" t="s">
        <v>164</v>
      </c>
      <c r="H310">
        <f t="shared" ref="H310" si="153">LEN(E310)</f>
        <v>18</v>
      </c>
    </row>
    <row r="311" spans="1:9" x14ac:dyDescent="0.35">
      <c r="A311" s="196"/>
      <c r="B311" s="196"/>
      <c r="C311" s="222" t="str">
        <f>IF(B311="",C308,B311)</f>
        <v>205</v>
      </c>
      <c r="D311" s="196" t="s">
        <v>223</v>
      </c>
      <c r="E311" s="208" t="s">
        <v>361</v>
      </c>
      <c r="F311" s="196" t="s">
        <v>219</v>
      </c>
      <c r="G311" s="196" t="s">
        <v>217</v>
      </c>
      <c r="H311">
        <f t="shared" si="114"/>
        <v>12</v>
      </c>
    </row>
    <row r="312" spans="1:9" x14ac:dyDescent="0.35">
      <c r="A312" s="196"/>
      <c r="B312" s="196"/>
      <c r="C312" s="222" t="str">
        <f t="shared" si="149"/>
        <v>205</v>
      </c>
      <c r="D312" s="196" t="s">
        <v>362</v>
      </c>
      <c r="E312" s="213" t="s">
        <v>640</v>
      </c>
      <c r="F312" s="196" t="s">
        <v>247</v>
      </c>
      <c r="G312" s="196" t="s">
        <v>164</v>
      </c>
      <c r="H312">
        <f t="shared" si="114"/>
        <v>18</v>
      </c>
    </row>
    <row r="313" spans="1:9" x14ac:dyDescent="0.35">
      <c r="A313" s="196"/>
      <c r="B313" s="196"/>
      <c r="C313" s="222" t="str">
        <f t="shared" si="149"/>
        <v>205</v>
      </c>
      <c r="D313" s="196" t="s">
        <v>363</v>
      </c>
      <c r="E313" s="213" t="s">
        <v>641</v>
      </c>
      <c r="F313" s="196" t="s">
        <v>247</v>
      </c>
      <c r="G313" s="196" t="s">
        <v>164</v>
      </c>
      <c r="H313">
        <f t="shared" si="114"/>
        <v>21</v>
      </c>
    </row>
    <row r="314" spans="1:9" x14ac:dyDescent="0.35">
      <c r="A314" s="196"/>
      <c r="B314" s="196"/>
      <c r="C314" s="222" t="str">
        <f t="shared" si="149"/>
        <v>205</v>
      </c>
      <c r="D314" s="261" t="s">
        <v>364</v>
      </c>
      <c r="E314" s="264" t="s">
        <v>642</v>
      </c>
      <c r="F314" s="261" t="s">
        <v>247</v>
      </c>
      <c r="G314" s="261" t="s">
        <v>164</v>
      </c>
      <c r="H314" s="266">
        <f t="shared" si="114"/>
        <v>18</v>
      </c>
    </row>
    <row r="315" spans="1:9" x14ac:dyDescent="0.35">
      <c r="A315" s="196"/>
      <c r="B315" s="196"/>
      <c r="C315" s="222" t="str">
        <f t="shared" si="149"/>
        <v>205</v>
      </c>
      <c r="D315" s="196" t="s">
        <v>365</v>
      </c>
      <c r="E315" s="213" t="s">
        <v>643</v>
      </c>
      <c r="F315" s="196" t="s">
        <v>247</v>
      </c>
      <c r="G315" s="196" t="s">
        <v>164</v>
      </c>
      <c r="H315">
        <f t="shared" si="114"/>
        <v>21</v>
      </c>
    </row>
    <row r="316" spans="1:9" x14ac:dyDescent="0.35">
      <c r="A316" s="196"/>
      <c r="B316" s="196"/>
      <c r="C316" s="222" t="str">
        <f t="shared" si="149"/>
        <v>205</v>
      </c>
      <c r="D316" s="196" t="s">
        <v>420</v>
      </c>
      <c r="E316" s="213" t="s">
        <v>858</v>
      </c>
      <c r="F316" s="196" t="s">
        <v>247</v>
      </c>
      <c r="G316" s="196" t="s">
        <v>164</v>
      </c>
      <c r="H316">
        <f t="shared" ref="H316:H317" si="154">LEN(E316)</f>
        <v>23</v>
      </c>
    </row>
    <row r="317" spans="1:9" x14ac:dyDescent="0.35">
      <c r="A317" s="196"/>
      <c r="B317" s="196"/>
      <c r="C317" s="222" t="str">
        <f t="shared" ref="C317" si="155">IF(B317="",C316,B317)</f>
        <v>205</v>
      </c>
      <c r="D317" s="196" t="s">
        <v>467</v>
      </c>
      <c r="E317" s="213" t="s">
        <v>859</v>
      </c>
      <c r="F317" s="196" t="s">
        <v>247</v>
      </c>
      <c r="G317" s="196" t="s">
        <v>164</v>
      </c>
      <c r="H317">
        <f t="shared" si="154"/>
        <v>22</v>
      </c>
    </row>
    <row r="318" spans="1:9" x14ac:dyDescent="0.35">
      <c r="A318" s="196"/>
      <c r="B318" s="196"/>
      <c r="C318" s="222" t="str">
        <f t="shared" ref="C318" si="156">IF(B318="",C317,B318)</f>
        <v>205</v>
      </c>
      <c r="D318" s="196" t="s">
        <v>468</v>
      </c>
      <c r="E318" s="213" t="s">
        <v>1005</v>
      </c>
      <c r="F318" s="196" t="s">
        <v>247</v>
      </c>
      <c r="G318" s="196" t="s">
        <v>164</v>
      </c>
      <c r="H318">
        <f t="shared" ref="H318" si="157">LEN(E318)</f>
        <v>21</v>
      </c>
      <c r="I318">
        <v>216.12</v>
      </c>
    </row>
    <row r="319" spans="1:9" x14ac:dyDescent="0.35">
      <c r="A319" s="196"/>
      <c r="B319" s="196"/>
      <c r="C319" s="222" t="str">
        <f>IF(B319="",C315,B319)</f>
        <v>205</v>
      </c>
      <c r="D319" s="196" t="s">
        <v>224</v>
      </c>
      <c r="E319" s="208" t="s">
        <v>366</v>
      </c>
      <c r="F319" s="196" t="s">
        <v>219</v>
      </c>
      <c r="G319" s="196" t="s">
        <v>217</v>
      </c>
      <c r="H319">
        <f t="shared" si="114"/>
        <v>14</v>
      </c>
    </row>
    <row r="320" spans="1:9" x14ac:dyDescent="0.35">
      <c r="A320" s="196"/>
      <c r="B320" s="196"/>
      <c r="C320" s="222" t="str">
        <f t="shared" ref="C320:C344" si="158">IF(B320="",C319,B320)</f>
        <v>205</v>
      </c>
      <c r="D320" s="196" t="s">
        <v>367</v>
      </c>
      <c r="E320" s="214" t="s">
        <v>368</v>
      </c>
      <c r="F320" s="196" t="s">
        <v>247</v>
      </c>
      <c r="G320" s="196" t="s">
        <v>217</v>
      </c>
      <c r="H320">
        <f t="shared" si="114"/>
        <v>13</v>
      </c>
    </row>
    <row r="321" spans="1:8" x14ac:dyDescent="0.35">
      <c r="A321" s="196"/>
      <c r="B321" s="196"/>
      <c r="C321" s="222" t="str">
        <f t="shared" si="158"/>
        <v>205</v>
      </c>
      <c r="D321" s="196" t="s">
        <v>369</v>
      </c>
      <c r="E321" s="219" t="s">
        <v>651</v>
      </c>
      <c r="F321" s="196" t="s">
        <v>248</v>
      </c>
      <c r="G321" s="196" t="s">
        <v>164</v>
      </c>
      <c r="H321">
        <f t="shared" si="114"/>
        <v>22</v>
      </c>
    </row>
    <row r="322" spans="1:8" ht="16.5" customHeight="1" x14ac:dyDescent="0.35">
      <c r="A322" s="196"/>
      <c r="B322" s="196"/>
      <c r="C322" s="222" t="str">
        <f t="shared" si="158"/>
        <v>205</v>
      </c>
      <c r="D322" s="196" t="s">
        <v>370</v>
      </c>
      <c r="E322" s="219" t="s">
        <v>652</v>
      </c>
      <c r="F322" s="196" t="s">
        <v>248</v>
      </c>
      <c r="G322" s="196" t="s">
        <v>164</v>
      </c>
      <c r="H322">
        <f t="shared" si="114"/>
        <v>22</v>
      </c>
    </row>
    <row r="323" spans="1:8" x14ac:dyDescent="0.35">
      <c r="A323" s="196"/>
      <c r="B323" s="196"/>
      <c r="C323" s="222" t="str">
        <f t="shared" ref="C323" si="159">IF(B323="",C322,B323)</f>
        <v>205</v>
      </c>
      <c r="D323" s="196" t="s">
        <v>888</v>
      </c>
      <c r="E323" s="219" t="s">
        <v>889</v>
      </c>
      <c r="F323" s="196" t="s">
        <v>248</v>
      </c>
      <c r="G323" s="196" t="s">
        <v>164</v>
      </c>
      <c r="H323">
        <f t="shared" ref="H323" si="160">LEN(E323)</f>
        <v>21</v>
      </c>
    </row>
    <row r="324" spans="1:8" x14ac:dyDescent="0.35">
      <c r="A324" s="196"/>
      <c r="B324" s="196"/>
      <c r="C324" s="222" t="str">
        <f>IF(B324="",C322,B324)</f>
        <v>205</v>
      </c>
      <c r="D324" s="196" t="s">
        <v>371</v>
      </c>
      <c r="E324" s="214" t="s">
        <v>372</v>
      </c>
      <c r="F324" s="196" t="s">
        <v>247</v>
      </c>
      <c r="G324" s="196" t="s">
        <v>217</v>
      </c>
      <c r="H324">
        <f t="shared" si="114"/>
        <v>21</v>
      </c>
    </row>
    <row r="325" spans="1:8" x14ac:dyDescent="0.35">
      <c r="A325" s="196"/>
      <c r="B325" s="196"/>
      <c r="C325" s="222" t="str">
        <f t="shared" si="158"/>
        <v>205</v>
      </c>
      <c r="D325" s="196" t="s">
        <v>373</v>
      </c>
      <c r="E325" s="219" t="s">
        <v>653</v>
      </c>
      <c r="F325" s="196" t="s">
        <v>248</v>
      </c>
      <c r="G325" s="196" t="s">
        <v>164</v>
      </c>
      <c r="H325">
        <f t="shared" si="114"/>
        <v>30</v>
      </c>
    </row>
    <row r="326" spans="1:8" x14ac:dyDescent="0.35">
      <c r="A326" s="196"/>
      <c r="B326" s="196"/>
      <c r="C326" s="222" t="str">
        <f t="shared" si="158"/>
        <v>205</v>
      </c>
      <c r="D326" s="196" t="s">
        <v>374</v>
      </c>
      <c r="E326" s="219" t="s">
        <v>654</v>
      </c>
      <c r="F326" s="196" t="s">
        <v>248</v>
      </c>
      <c r="G326" s="196" t="s">
        <v>164</v>
      </c>
      <c r="H326">
        <f t="shared" si="114"/>
        <v>30</v>
      </c>
    </row>
    <row r="327" spans="1:8" x14ac:dyDescent="0.35">
      <c r="A327" s="196"/>
      <c r="B327" s="196"/>
      <c r="C327" s="222" t="str">
        <f t="shared" ref="C327" si="161">IF(B327="",C326,B327)</f>
        <v>205</v>
      </c>
      <c r="D327" s="196" t="s">
        <v>890</v>
      </c>
      <c r="E327" s="219" t="s">
        <v>891</v>
      </c>
      <c r="F327" s="196" t="s">
        <v>248</v>
      </c>
      <c r="G327" s="196" t="s">
        <v>164</v>
      </c>
      <c r="H327">
        <f t="shared" ref="H327" si="162">LEN(E327)</f>
        <v>29</v>
      </c>
    </row>
    <row r="328" spans="1:8" x14ac:dyDescent="0.35">
      <c r="A328" s="196"/>
      <c r="B328" s="196"/>
      <c r="C328" s="222" t="str">
        <f>IF(B328="",C326,B328)</f>
        <v>205</v>
      </c>
      <c r="D328" s="196" t="s">
        <v>225</v>
      </c>
      <c r="E328" s="208" t="s">
        <v>375</v>
      </c>
      <c r="F328" s="196" t="s">
        <v>219</v>
      </c>
      <c r="G328" s="196" t="s">
        <v>217</v>
      </c>
      <c r="H328">
        <f t="shared" si="114"/>
        <v>12</v>
      </c>
    </row>
    <row r="329" spans="1:8" x14ac:dyDescent="0.35">
      <c r="A329" s="196"/>
      <c r="B329" s="196"/>
      <c r="C329" s="222" t="str">
        <f t="shared" si="158"/>
        <v>205</v>
      </c>
      <c r="D329" s="196" t="s">
        <v>376</v>
      </c>
      <c r="E329" s="213" t="s">
        <v>655</v>
      </c>
      <c r="F329" s="196" t="s">
        <v>247</v>
      </c>
      <c r="G329" s="196" t="s">
        <v>164</v>
      </c>
      <c r="H329">
        <f t="shared" si="114"/>
        <v>18</v>
      </c>
    </row>
    <row r="330" spans="1:8" x14ac:dyDescent="0.35">
      <c r="A330" s="196"/>
      <c r="B330" s="196"/>
      <c r="C330" s="222" t="str">
        <f t="shared" si="158"/>
        <v>205</v>
      </c>
      <c r="D330" s="196" t="s">
        <v>377</v>
      </c>
      <c r="E330" s="213" t="s">
        <v>656</v>
      </c>
      <c r="F330" s="196" t="s">
        <v>247</v>
      </c>
      <c r="G330" s="196" t="s">
        <v>164</v>
      </c>
      <c r="H330">
        <f t="shared" si="114"/>
        <v>21</v>
      </c>
    </row>
    <row r="331" spans="1:8" x14ac:dyDescent="0.35">
      <c r="A331" s="196"/>
      <c r="B331" s="196"/>
      <c r="C331" s="222" t="str">
        <f t="shared" si="158"/>
        <v>205</v>
      </c>
      <c r="D331" s="196" t="s">
        <v>378</v>
      </c>
      <c r="E331" s="213" t="s">
        <v>657</v>
      </c>
      <c r="F331" s="196" t="s">
        <v>247</v>
      </c>
      <c r="G331" s="196" t="s">
        <v>164</v>
      </c>
      <c r="H331">
        <f t="shared" si="114"/>
        <v>14</v>
      </c>
    </row>
    <row r="332" spans="1:8" x14ac:dyDescent="0.35">
      <c r="A332" s="196"/>
      <c r="B332" s="196"/>
      <c r="C332" s="222" t="str">
        <f t="shared" ref="C332" si="163">IF(B332="",C331,B332)</f>
        <v>205</v>
      </c>
      <c r="D332" s="196" t="s">
        <v>869</v>
      </c>
      <c r="E332" s="213" t="s">
        <v>870</v>
      </c>
      <c r="F332" s="196" t="s">
        <v>247</v>
      </c>
      <c r="G332" s="196" t="s">
        <v>164</v>
      </c>
      <c r="H332">
        <f t="shared" ref="H332" si="164">LEN(E332)</f>
        <v>19</v>
      </c>
    </row>
    <row r="333" spans="1:8" x14ac:dyDescent="0.35">
      <c r="A333" s="196"/>
      <c r="B333" s="196"/>
      <c r="C333" s="222" t="str">
        <f t="shared" ref="C333" si="165">IF(B333="",C332,B333)</f>
        <v>205</v>
      </c>
      <c r="D333" s="196" t="s">
        <v>895</v>
      </c>
      <c r="E333" s="213" t="s">
        <v>914</v>
      </c>
      <c r="F333" s="196" t="s">
        <v>247</v>
      </c>
      <c r="G333" s="196" t="s">
        <v>164</v>
      </c>
      <c r="H333">
        <f t="shared" ref="H333" si="166">LEN(E333)</f>
        <v>10</v>
      </c>
    </row>
    <row r="334" spans="1:8" x14ac:dyDescent="0.35">
      <c r="A334" s="196" t="s">
        <v>250</v>
      </c>
      <c r="B334" s="196" t="s">
        <v>379</v>
      </c>
      <c r="C334" s="222" t="str">
        <f>IF(B334="",C331,B334)</f>
        <v>210</v>
      </c>
      <c r="D334" s="196"/>
      <c r="E334" s="205" t="s">
        <v>380</v>
      </c>
      <c r="F334" s="196" t="s">
        <v>216</v>
      </c>
      <c r="G334" s="196" t="s">
        <v>217</v>
      </c>
      <c r="H334">
        <f t="shared" si="114"/>
        <v>18</v>
      </c>
    </row>
    <row r="335" spans="1:8" x14ac:dyDescent="0.35">
      <c r="A335" s="196"/>
      <c r="B335" s="196"/>
      <c r="C335" s="222" t="str">
        <f t="shared" si="158"/>
        <v>210</v>
      </c>
      <c r="D335" s="196" t="s">
        <v>218</v>
      </c>
      <c r="E335" s="209" t="s">
        <v>659</v>
      </c>
      <c r="F335" s="196" t="s">
        <v>219</v>
      </c>
      <c r="G335" s="196" t="s">
        <v>164</v>
      </c>
      <c r="H335">
        <f t="shared" si="114"/>
        <v>19</v>
      </c>
    </row>
    <row r="336" spans="1:8" x14ac:dyDescent="0.35">
      <c r="A336" s="196"/>
      <c r="B336" s="196"/>
      <c r="C336" s="222" t="str">
        <f t="shared" si="158"/>
        <v>210</v>
      </c>
      <c r="D336" s="196" t="s">
        <v>221</v>
      </c>
      <c r="E336" s="209" t="s">
        <v>660</v>
      </c>
      <c r="F336" s="196" t="s">
        <v>219</v>
      </c>
      <c r="G336" s="196" t="s">
        <v>164</v>
      </c>
      <c r="H336">
        <f t="shared" si="114"/>
        <v>20</v>
      </c>
    </row>
    <row r="337" spans="1:10" x14ac:dyDescent="0.35">
      <c r="A337" s="196" t="s">
        <v>250</v>
      </c>
      <c r="B337" s="196" t="s">
        <v>381</v>
      </c>
      <c r="C337" s="222" t="str">
        <f t="shared" si="158"/>
        <v>225</v>
      </c>
      <c r="D337" s="196"/>
      <c r="E337" s="205" t="s">
        <v>382</v>
      </c>
      <c r="F337" s="196" t="s">
        <v>216</v>
      </c>
      <c r="G337" s="196" t="s">
        <v>217</v>
      </c>
      <c r="H337">
        <f t="shared" si="114"/>
        <v>11</v>
      </c>
    </row>
    <row r="338" spans="1:10" x14ac:dyDescent="0.35">
      <c r="A338" s="196"/>
      <c r="B338" s="196"/>
      <c r="C338" s="222" t="str">
        <f t="shared" si="158"/>
        <v>225</v>
      </c>
      <c r="D338" s="196" t="s">
        <v>218</v>
      </c>
      <c r="E338" s="209" t="s">
        <v>776</v>
      </c>
      <c r="F338" s="196" t="s">
        <v>219</v>
      </c>
      <c r="G338" s="196" t="s">
        <v>292</v>
      </c>
      <c r="H338">
        <f t="shared" si="114"/>
        <v>26</v>
      </c>
      <c r="J338" s="1" t="s">
        <v>768</v>
      </c>
    </row>
    <row r="339" spans="1:10" x14ac:dyDescent="0.35">
      <c r="A339" s="196"/>
      <c r="B339" s="196"/>
      <c r="C339" s="222" t="str">
        <f t="shared" si="158"/>
        <v>225</v>
      </c>
      <c r="D339" s="196" t="s">
        <v>221</v>
      </c>
      <c r="E339" s="209" t="s">
        <v>777</v>
      </c>
      <c r="F339" s="196" t="s">
        <v>219</v>
      </c>
      <c r="G339" s="196" t="s">
        <v>292</v>
      </c>
      <c r="H339">
        <f t="shared" si="114"/>
        <v>19</v>
      </c>
    </row>
    <row r="340" spans="1:10" x14ac:dyDescent="0.35">
      <c r="A340" s="196"/>
      <c r="B340" s="196"/>
      <c r="C340" s="222" t="str">
        <f t="shared" si="158"/>
        <v>225</v>
      </c>
      <c r="D340" s="196" t="s">
        <v>222</v>
      </c>
      <c r="E340" s="209" t="s">
        <v>818</v>
      </c>
      <c r="F340" s="196" t="s">
        <v>219</v>
      </c>
      <c r="G340" s="196" t="s">
        <v>292</v>
      </c>
      <c r="H340">
        <f t="shared" ref="H340" si="167">LEN(E340)</f>
        <v>21</v>
      </c>
    </row>
    <row r="341" spans="1:10" x14ac:dyDescent="0.35">
      <c r="A341" s="196"/>
      <c r="B341" s="196"/>
      <c r="C341" s="222" t="str">
        <f t="shared" si="158"/>
        <v>225</v>
      </c>
      <c r="D341" s="196" t="s">
        <v>286</v>
      </c>
      <c r="E341" s="208" t="s">
        <v>383</v>
      </c>
      <c r="F341" s="196" t="s">
        <v>219</v>
      </c>
      <c r="G341" s="196" t="s">
        <v>217</v>
      </c>
      <c r="H341">
        <f t="shared" si="114"/>
        <v>21</v>
      </c>
    </row>
    <row r="342" spans="1:10" x14ac:dyDescent="0.35">
      <c r="A342" s="196"/>
      <c r="B342" s="196"/>
      <c r="C342" s="222" t="str">
        <f t="shared" si="158"/>
        <v>225</v>
      </c>
      <c r="D342" s="196" t="s">
        <v>329</v>
      </c>
      <c r="E342" s="209" t="s">
        <v>778</v>
      </c>
      <c r="F342" s="196" t="s">
        <v>247</v>
      </c>
      <c r="G342" s="196" t="s">
        <v>292</v>
      </c>
      <c r="H342">
        <f t="shared" ref="H342:H344" si="168">LEN(E342)</f>
        <v>25</v>
      </c>
    </row>
    <row r="343" spans="1:10" x14ac:dyDescent="0.35">
      <c r="A343" s="196"/>
      <c r="B343" s="196"/>
      <c r="C343" s="222" t="str">
        <f t="shared" si="158"/>
        <v>225</v>
      </c>
      <c r="D343" s="196" t="s">
        <v>330</v>
      </c>
      <c r="E343" s="209" t="s">
        <v>779</v>
      </c>
      <c r="F343" s="196" t="s">
        <v>247</v>
      </c>
      <c r="G343" s="196" t="s">
        <v>292</v>
      </c>
      <c r="H343">
        <f t="shared" si="168"/>
        <v>26</v>
      </c>
    </row>
    <row r="344" spans="1:10" x14ac:dyDescent="0.35">
      <c r="A344" s="196"/>
      <c r="B344" s="196"/>
      <c r="C344" s="222" t="str">
        <f t="shared" si="158"/>
        <v>225</v>
      </c>
      <c r="D344" s="196" t="s">
        <v>331</v>
      </c>
      <c r="E344" s="209" t="s">
        <v>819</v>
      </c>
      <c r="F344" s="196" t="s">
        <v>247</v>
      </c>
      <c r="G344" s="196" t="s">
        <v>292</v>
      </c>
      <c r="H344">
        <f t="shared" si="168"/>
        <v>31</v>
      </c>
    </row>
    <row r="345" spans="1:10" x14ac:dyDescent="0.35">
      <c r="A345" s="196" t="s">
        <v>250</v>
      </c>
      <c r="B345" s="196" t="s">
        <v>384</v>
      </c>
      <c r="C345" s="222" t="str">
        <f>IF(B345="",C341,B345)</f>
        <v>230</v>
      </c>
      <c r="D345" s="196"/>
      <c r="E345" s="205" t="s">
        <v>661</v>
      </c>
      <c r="F345" s="196" t="s">
        <v>216</v>
      </c>
      <c r="G345" s="196" t="s">
        <v>217</v>
      </c>
      <c r="H345">
        <f t="shared" si="114"/>
        <v>22</v>
      </c>
      <c r="J345" s="1" t="s">
        <v>768</v>
      </c>
    </row>
    <row r="346" spans="1:10" x14ac:dyDescent="0.35">
      <c r="A346" s="196"/>
      <c r="B346" s="196"/>
      <c r="C346" s="222" t="str">
        <f>IF(B346="",C345,B346)</f>
        <v>230</v>
      </c>
      <c r="D346" s="196" t="s">
        <v>218</v>
      </c>
      <c r="E346" s="209" t="s">
        <v>782</v>
      </c>
      <c r="F346" s="196" t="s">
        <v>219</v>
      </c>
      <c r="G346" s="196" t="s">
        <v>164</v>
      </c>
      <c r="H346">
        <f t="shared" si="114"/>
        <v>26</v>
      </c>
      <c r="J346" s="1" t="s">
        <v>768</v>
      </c>
    </row>
    <row r="347" spans="1:10" x14ac:dyDescent="0.35">
      <c r="A347" s="196"/>
      <c r="B347" s="196"/>
      <c r="C347" s="222" t="str">
        <f>IF(B347="",C346,B347)</f>
        <v>230</v>
      </c>
      <c r="D347" s="196" t="s">
        <v>221</v>
      </c>
      <c r="E347" s="209" t="s">
        <v>783</v>
      </c>
      <c r="F347" s="196" t="s">
        <v>219</v>
      </c>
      <c r="G347" s="196" t="s">
        <v>164</v>
      </c>
      <c r="H347">
        <f t="shared" si="114"/>
        <v>26</v>
      </c>
    </row>
    <row r="348" spans="1:10" x14ac:dyDescent="0.35">
      <c r="A348" s="196"/>
      <c r="B348" s="196"/>
      <c r="C348" s="222" t="str">
        <f>IF(B348="",C347,B348)</f>
        <v>230</v>
      </c>
      <c r="D348" s="196" t="s">
        <v>286</v>
      </c>
      <c r="E348" s="208" t="s">
        <v>383</v>
      </c>
      <c r="F348" s="196" t="s">
        <v>219</v>
      </c>
      <c r="G348" s="196" t="s">
        <v>217</v>
      </c>
      <c r="H348">
        <f t="shared" si="114"/>
        <v>21</v>
      </c>
    </row>
    <row r="349" spans="1:10" x14ac:dyDescent="0.35">
      <c r="A349" s="196"/>
      <c r="B349" s="196"/>
      <c r="C349" s="222" t="str">
        <f>IF(B349="",C348,B349)</f>
        <v>230</v>
      </c>
      <c r="D349" s="196" t="s">
        <v>329</v>
      </c>
      <c r="E349" s="213" t="s">
        <v>599</v>
      </c>
      <c r="F349" s="196" t="s">
        <v>247</v>
      </c>
      <c r="G349" s="196" t="s">
        <v>164</v>
      </c>
      <c r="H349">
        <f t="shared" si="114"/>
        <v>21</v>
      </c>
    </row>
    <row r="350" spans="1:10" x14ac:dyDescent="0.35">
      <c r="A350" s="196" t="s">
        <v>250</v>
      </c>
      <c r="B350" s="196" t="s">
        <v>756</v>
      </c>
      <c r="C350" s="222" t="str">
        <f>IF(B350="",C347,B350)</f>
        <v>231</v>
      </c>
      <c r="D350" s="196"/>
      <c r="E350" s="205" t="s">
        <v>757</v>
      </c>
      <c r="F350" s="196" t="s">
        <v>216</v>
      </c>
      <c r="G350" s="196" t="s">
        <v>217</v>
      </c>
      <c r="H350">
        <f t="shared" ref="H350:H353" si="169">LEN(E350)</f>
        <v>30</v>
      </c>
    </row>
    <row r="351" spans="1:10" x14ac:dyDescent="0.35">
      <c r="A351" s="196"/>
      <c r="B351" s="196"/>
      <c r="C351" s="222" t="str">
        <f>IF(B351="",C350,B351)</f>
        <v>231</v>
      </c>
      <c r="D351" s="196" t="s">
        <v>218</v>
      </c>
      <c r="E351" s="209" t="s">
        <v>760</v>
      </c>
      <c r="F351" s="196" t="s">
        <v>219</v>
      </c>
      <c r="G351" s="196" t="s">
        <v>164</v>
      </c>
      <c r="H351">
        <f t="shared" si="169"/>
        <v>27</v>
      </c>
    </row>
    <row r="352" spans="1:10" x14ac:dyDescent="0.35">
      <c r="A352" s="196"/>
      <c r="B352" s="196"/>
      <c r="C352" s="222" t="str">
        <f>IF(B352="",C351,B352)</f>
        <v>231</v>
      </c>
      <c r="D352" s="196" t="s">
        <v>221</v>
      </c>
      <c r="E352" s="209" t="s">
        <v>761</v>
      </c>
      <c r="F352" s="196" t="s">
        <v>219</v>
      </c>
      <c r="G352" s="196" t="s">
        <v>164</v>
      </c>
      <c r="H352">
        <f t="shared" si="169"/>
        <v>27</v>
      </c>
    </row>
    <row r="353" spans="1:8" x14ac:dyDescent="0.35">
      <c r="A353" s="196"/>
      <c r="B353" s="196"/>
      <c r="C353" s="222" t="str">
        <f>IF(B353="",C352,B353)</f>
        <v>231</v>
      </c>
      <c r="D353" s="196" t="s">
        <v>286</v>
      </c>
      <c r="E353" s="213" t="s">
        <v>599</v>
      </c>
      <c r="F353" s="196" t="s">
        <v>219</v>
      </c>
      <c r="G353" s="196" t="s">
        <v>164</v>
      </c>
      <c r="H353">
        <f t="shared" si="169"/>
        <v>21</v>
      </c>
    </row>
    <row r="354" spans="1:8" x14ac:dyDescent="0.35">
      <c r="A354" s="196" t="s">
        <v>250</v>
      </c>
      <c r="B354" s="196" t="s">
        <v>385</v>
      </c>
      <c r="C354" s="222" t="str">
        <f>IF(B354="",C349,B354)</f>
        <v>235</v>
      </c>
      <c r="D354" s="196"/>
      <c r="E354" s="205" t="s">
        <v>675</v>
      </c>
      <c r="F354" s="196" t="s">
        <v>216</v>
      </c>
      <c r="G354" s="196" t="s">
        <v>217</v>
      </c>
      <c r="H354">
        <f t="shared" ref="H354:H503" si="170">LEN(E354)</f>
        <v>20</v>
      </c>
    </row>
    <row r="355" spans="1:8" x14ac:dyDescent="0.35">
      <c r="A355" s="196"/>
      <c r="B355" s="196"/>
      <c r="C355" s="222" t="str">
        <f t="shared" ref="C355:C416" si="171">IF(B355="",C354,B355)</f>
        <v>235</v>
      </c>
      <c r="D355" s="196" t="s">
        <v>218</v>
      </c>
      <c r="E355" s="209" t="s">
        <v>758</v>
      </c>
      <c r="F355" s="196" t="s">
        <v>219</v>
      </c>
      <c r="G355" s="196" t="s">
        <v>164</v>
      </c>
      <c r="H355">
        <f t="shared" si="170"/>
        <v>24</v>
      </c>
    </row>
    <row r="356" spans="1:8" x14ac:dyDescent="0.35">
      <c r="A356" s="196"/>
      <c r="B356" s="196"/>
      <c r="C356" s="222" t="str">
        <f t="shared" si="171"/>
        <v>235</v>
      </c>
      <c r="D356" s="196" t="s">
        <v>221</v>
      </c>
      <c r="E356" s="209" t="s">
        <v>759</v>
      </c>
      <c r="F356" s="196" t="s">
        <v>219</v>
      </c>
      <c r="G356" s="196" t="s">
        <v>164</v>
      </c>
      <c r="H356">
        <f t="shared" si="170"/>
        <v>24</v>
      </c>
    </row>
    <row r="357" spans="1:8" x14ac:dyDescent="0.35">
      <c r="A357" s="196"/>
      <c r="B357" s="196"/>
      <c r="C357" s="222" t="str">
        <f t="shared" si="171"/>
        <v>235</v>
      </c>
      <c r="D357" s="196" t="s">
        <v>222</v>
      </c>
      <c r="E357" s="209" t="s">
        <v>784</v>
      </c>
      <c r="F357" s="196" t="s">
        <v>219</v>
      </c>
      <c r="G357" s="196" t="s">
        <v>164</v>
      </c>
      <c r="H357">
        <f t="shared" si="170"/>
        <v>30</v>
      </c>
    </row>
    <row r="358" spans="1:8" x14ac:dyDescent="0.35">
      <c r="A358" s="196"/>
      <c r="B358" s="196"/>
      <c r="C358" s="222" t="str">
        <f t="shared" si="171"/>
        <v>235</v>
      </c>
      <c r="D358" s="196" t="s">
        <v>286</v>
      </c>
      <c r="E358" s="208" t="s">
        <v>383</v>
      </c>
      <c r="F358" s="196" t="s">
        <v>219</v>
      </c>
      <c r="G358" s="196" t="s">
        <v>217</v>
      </c>
      <c r="H358">
        <f t="shared" si="170"/>
        <v>21</v>
      </c>
    </row>
    <row r="359" spans="1:8" x14ac:dyDescent="0.35">
      <c r="A359" s="196"/>
      <c r="B359" s="196"/>
      <c r="C359" s="222" t="str">
        <f t="shared" si="171"/>
        <v>235</v>
      </c>
      <c r="D359" s="196" t="s">
        <v>329</v>
      </c>
      <c r="E359" s="209" t="s">
        <v>778</v>
      </c>
      <c r="F359" s="196" t="s">
        <v>247</v>
      </c>
      <c r="G359" s="196" t="s">
        <v>164</v>
      </c>
      <c r="H359">
        <f t="shared" ref="H359:H361" si="172">LEN(E359)</f>
        <v>25</v>
      </c>
    </row>
    <row r="360" spans="1:8" x14ac:dyDescent="0.35">
      <c r="A360" s="196"/>
      <c r="B360" s="196"/>
      <c r="C360" s="222" t="str">
        <f t="shared" si="171"/>
        <v>235</v>
      </c>
      <c r="D360" s="196" t="s">
        <v>330</v>
      </c>
      <c r="E360" s="209" t="s">
        <v>779</v>
      </c>
      <c r="F360" s="196" t="s">
        <v>247</v>
      </c>
      <c r="G360" s="196" t="s">
        <v>164</v>
      </c>
      <c r="H360">
        <f t="shared" si="172"/>
        <v>26</v>
      </c>
    </row>
    <row r="361" spans="1:8" x14ac:dyDescent="0.35">
      <c r="A361" s="196"/>
      <c r="B361" s="196"/>
      <c r="C361" s="222" t="str">
        <f t="shared" si="171"/>
        <v>235</v>
      </c>
      <c r="D361" s="196" t="s">
        <v>331</v>
      </c>
      <c r="E361" s="209" t="s">
        <v>780</v>
      </c>
      <c r="F361" s="196" t="s">
        <v>247</v>
      </c>
      <c r="G361" s="196" t="s">
        <v>164</v>
      </c>
      <c r="H361">
        <f t="shared" si="172"/>
        <v>35</v>
      </c>
    </row>
    <row r="362" spans="1:8" x14ac:dyDescent="0.35">
      <c r="A362" s="196" t="s">
        <v>250</v>
      </c>
      <c r="B362" s="196" t="s">
        <v>386</v>
      </c>
      <c r="C362" s="222" t="str">
        <f t="shared" si="171"/>
        <v>240</v>
      </c>
      <c r="D362" s="196"/>
      <c r="E362" s="205" t="s">
        <v>676</v>
      </c>
      <c r="F362" s="196" t="s">
        <v>216</v>
      </c>
      <c r="G362" s="196" t="s">
        <v>217</v>
      </c>
      <c r="H362">
        <f t="shared" si="170"/>
        <v>19</v>
      </c>
    </row>
    <row r="363" spans="1:8" x14ac:dyDescent="0.35">
      <c r="A363" s="196"/>
      <c r="B363" s="196"/>
      <c r="C363" s="222" t="str">
        <f t="shared" si="171"/>
        <v>240</v>
      </c>
      <c r="D363" s="196" t="s">
        <v>218</v>
      </c>
      <c r="E363" s="209" t="s">
        <v>584</v>
      </c>
      <c r="F363" s="196" t="s">
        <v>219</v>
      </c>
      <c r="G363" s="196" t="s">
        <v>164</v>
      </c>
      <c r="H363">
        <f t="shared" si="170"/>
        <v>22</v>
      </c>
    </row>
    <row r="364" spans="1:8" x14ac:dyDescent="0.35">
      <c r="A364" s="196"/>
      <c r="B364" s="196"/>
      <c r="C364" s="222" t="str">
        <f t="shared" ref="C364" si="173">IF(B364="",C363,B364)</f>
        <v>240</v>
      </c>
      <c r="D364" s="196" t="s">
        <v>221</v>
      </c>
      <c r="E364" s="209" t="s">
        <v>1166</v>
      </c>
      <c r="F364" s="196" t="s">
        <v>219</v>
      </c>
      <c r="G364" s="196" t="s">
        <v>164</v>
      </c>
      <c r="H364">
        <f t="shared" ref="H364" si="174">LEN(E364)</f>
        <v>20</v>
      </c>
    </row>
    <row r="365" spans="1:8" x14ac:dyDescent="0.35">
      <c r="A365" s="196"/>
      <c r="B365" s="196"/>
      <c r="C365" s="222" t="str">
        <f>IF(B365="",C363,B365)</f>
        <v>240</v>
      </c>
      <c r="D365" s="196" t="s">
        <v>223</v>
      </c>
      <c r="E365" s="209" t="s">
        <v>498</v>
      </c>
      <c r="F365" s="196" t="s">
        <v>219</v>
      </c>
      <c r="G365" s="196" t="s">
        <v>164</v>
      </c>
      <c r="H365">
        <f t="shared" si="170"/>
        <v>16</v>
      </c>
    </row>
    <row r="366" spans="1:8" x14ac:dyDescent="0.35">
      <c r="A366" s="196"/>
      <c r="B366" s="196"/>
      <c r="C366" s="223" t="str">
        <f t="shared" ref="C366" si="175">IF(B366="",C365,B366)</f>
        <v>240</v>
      </c>
      <c r="D366" s="224" t="s">
        <v>224</v>
      </c>
      <c r="E366" s="227" t="s">
        <v>1186</v>
      </c>
      <c r="F366" s="224" t="s">
        <v>219</v>
      </c>
      <c r="G366" s="224" t="s">
        <v>164</v>
      </c>
      <c r="H366" s="16">
        <f t="shared" ref="H366" si="176">LEN(E366)</f>
        <v>23</v>
      </c>
    </row>
    <row r="367" spans="1:8" x14ac:dyDescent="0.35">
      <c r="A367" s="196"/>
      <c r="B367" s="196"/>
      <c r="C367" s="222" t="str">
        <f>IF(B367="",C365,B367)</f>
        <v>240</v>
      </c>
      <c r="D367" s="196" t="s">
        <v>286</v>
      </c>
      <c r="E367" s="208" t="s">
        <v>383</v>
      </c>
      <c r="F367" s="196" t="s">
        <v>219</v>
      </c>
      <c r="G367" s="196" t="s">
        <v>217</v>
      </c>
      <c r="H367">
        <f t="shared" si="170"/>
        <v>21</v>
      </c>
    </row>
    <row r="368" spans="1:8" x14ac:dyDescent="0.35">
      <c r="A368" s="196"/>
      <c r="B368" s="196"/>
      <c r="C368" s="223" t="str">
        <f t="shared" ref="C368:C369" si="177">IF(B368="",C366,B368)</f>
        <v>240</v>
      </c>
      <c r="D368" s="224" t="s">
        <v>329</v>
      </c>
      <c r="E368" s="227" t="s">
        <v>778</v>
      </c>
      <c r="F368" s="224" t="s">
        <v>247</v>
      </c>
      <c r="G368" s="224" t="s">
        <v>164</v>
      </c>
      <c r="H368" s="16">
        <f t="shared" si="170"/>
        <v>25</v>
      </c>
    </row>
    <row r="369" spans="1:8" x14ac:dyDescent="0.35">
      <c r="A369" s="196"/>
      <c r="B369" s="196"/>
      <c r="C369" s="223" t="str">
        <f t="shared" si="177"/>
        <v>240</v>
      </c>
      <c r="D369" s="224" t="s">
        <v>330</v>
      </c>
      <c r="E369" s="227" t="s">
        <v>779</v>
      </c>
      <c r="F369" s="224" t="s">
        <v>247</v>
      </c>
      <c r="G369" s="224" t="s">
        <v>164</v>
      </c>
      <c r="H369" s="16">
        <f t="shared" si="170"/>
        <v>26</v>
      </c>
    </row>
    <row r="370" spans="1:8" x14ac:dyDescent="0.35">
      <c r="A370" s="196" t="s">
        <v>250</v>
      </c>
      <c r="B370" s="196" t="s">
        <v>1083</v>
      </c>
      <c r="C370" s="222" t="str">
        <f>IF(B370="",C367,B370)</f>
        <v>241</v>
      </c>
      <c r="D370" s="196"/>
      <c r="E370" s="205" t="s">
        <v>1084</v>
      </c>
      <c r="F370" s="196" t="s">
        <v>216</v>
      </c>
      <c r="G370" s="196" t="s">
        <v>217</v>
      </c>
      <c r="H370">
        <f t="shared" ref="H370:H371" si="178">LEN(E370)</f>
        <v>25</v>
      </c>
    </row>
    <row r="371" spans="1:8" x14ac:dyDescent="0.35">
      <c r="A371" s="196"/>
      <c r="B371" s="196"/>
      <c r="C371" s="222" t="str">
        <f t="shared" ref="C371" si="179">IF(B371="",C370,B371)</f>
        <v>241</v>
      </c>
      <c r="D371" s="196" t="s">
        <v>218</v>
      </c>
      <c r="E371" s="209" t="s">
        <v>1085</v>
      </c>
      <c r="F371" s="196" t="s">
        <v>219</v>
      </c>
      <c r="G371" s="196" t="s">
        <v>164</v>
      </c>
      <c r="H371">
        <f t="shared" si="178"/>
        <v>29</v>
      </c>
    </row>
    <row r="372" spans="1:8" x14ac:dyDescent="0.35">
      <c r="A372" s="196"/>
      <c r="B372" s="196"/>
      <c r="C372" s="222" t="str">
        <f t="shared" ref="C372" si="180">IF(B372="",C371,B372)</f>
        <v>241</v>
      </c>
      <c r="D372" s="196" t="s">
        <v>221</v>
      </c>
      <c r="E372" s="209" t="s">
        <v>1086</v>
      </c>
      <c r="F372" s="196" t="s">
        <v>219</v>
      </c>
      <c r="G372" s="196" t="s">
        <v>164</v>
      </c>
      <c r="H372">
        <f t="shared" ref="H372" si="181">LEN(E372)</f>
        <v>25</v>
      </c>
    </row>
    <row r="373" spans="1:8" x14ac:dyDescent="0.35">
      <c r="A373" s="196" t="s">
        <v>250</v>
      </c>
      <c r="B373" s="196" t="s">
        <v>387</v>
      </c>
      <c r="C373" s="222" t="str">
        <f>IF(B373="",C367,B373)</f>
        <v>245</v>
      </c>
      <c r="D373" s="196"/>
      <c r="E373" s="205" t="s">
        <v>910</v>
      </c>
      <c r="F373" s="196" t="s">
        <v>216</v>
      </c>
      <c r="G373" s="196" t="s">
        <v>217</v>
      </c>
      <c r="H373">
        <f t="shared" si="170"/>
        <v>12</v>
      </c>
    </row>
    <row r="374" spans="1:8" x14ac:dyDescent="0.35">
      <c r="A374" s="196"/>
      <c r="B374" s="196"/>
      <c r="C374" s="222" t="str">
        <f t="shared" si="171"/>
        <v>245</v>
      </c>
      <c r="D374" s="196" t="s">
        <v>218</v>
      </c>
      <c r="E374" s="209" t="s">
        <v>600</v>
      </c>
      <c r="F374" s="196" t="s">
        <v>219</v>
      </c>
      <c r="G374" s="196" t="s">
        <v>164</v>
      </c>
      <c r="H374">
        <f t="shared" si="170"/>
        <v>25</v>
      </c>
    </row>
    <row r="375" spans="1:8" x14ac:dyDescent="0.35">
      <c r="A375" s="196" t="s">
        <v>250</v>
      </c>
      <c r="B375" s="196" t="s">
        <v>1074</v>
      </c>
      <c r="C375" s="222" t="str">
        <f t="shared" ref="C375:C376" si="182">IF(B375="",C374,B375)</f>
        <v>246</v>
      </c>
      <c r="D375" s="196"/>
      <c r="E375" s="205" t="s">
        <v>1073</v>
      </c>
      <c r="F375" s="196" t="s">
        <v>216</v>
      </c>
      <c r="G375" s="196" t="s">
        <v>217</v>
      </c>
      <c r="H375">
        <f t="shared" ref="H375:H376" si="183">LEN(E375)</f>
        <v>19</v>
      </c>
    </row>
    <row r="376" spans="1:8" x14ac:dyDescent="0.35">
      <c r="A376" s="196"/>
      <c r="B376" s="196"/>
      <c r="C376" s="222" t="str">
        <f t="shared" si="182"/>
        <v>246</v>
      </c>
      <c r="D376" s="196" t="s">
        <v>218</v>
      </c>
      <c r="E376" s="209" t="s">
        <v>1075</v>
      </c>
      <c r="F376" s="196" t="s">
        <v>219</v>
      </c>
      <c r="G376" s="196" t="s">
        <v>164</v>
      </c>
      <c r="H376">
        <f t="shared" si="183"/>
        <v>18</v>
      </c>
    </row>
    <row r="377" spans="1:8" x14ac:dyDescent="0.35">
      <c r="A377" s="196"/>
      <c r="B377" s="196"/>
      <c r="C377" s="222" t="str">
        <f t="shared" ref="C377" si="184">IF(B377="",C376,B377)</f>
        <v>246</v>
      </c>
      <c r="D377" s="196" t="s">
        <v>221</v>
      </c>
      <c r="E377" s="209" t="s">
        <v>1076</v>
      </c>
      <c r="F377" s="196" t="s">
        <v>219</v>
      </c>
      <c r="G377" s="196" t="s">
        <v>164</v>
      </c>
      <c r="H377">
        <f t="shared" ref="H377" si="185">LEN(E377)</f>
        <v>14</v>
      </c>
    </row>
    <row r="378" spans="1:8" x14ac:dyDescent="0.35">
      <c r="A378" s="196"/>
      <c r="B378" s="196"/>
      <c r="C378" s="222" t="str">
        <f t="shared" ref="C378:C381" si="186">IF(B378="",C377,B378)</f>
        <v>246</v>
      </c>
      <c r="D378" s="196" t="s">
        <v>222</v>
      </c>
      <c r="E378" s="209" t="s">
        <v>1077</v>
      </c>
      <c r="F378" s="196" t="s">
        <v>219</v>
      </c>
      <c r="G378" s="196" t="s">
        <v>164</v>
      </c>
      <c r="H378">
        <f t="shared" ref="H378:H381" si="187">LEN(E378)</f>
        <v>6</v>
      </c>
    </row>
    <row r="379" spans="1:8" x14ac:dyDescent="0.35">
      <c r="A379" s="196"/>
      <c r="B379" s="196"/>
      <c r="C379" s="223" t="str">
        <f t="shared" ref="C379" si="188">IF(B379="",C378,B379)</f>
        <v>246</v>
      </c>
      <c r="D379" s="224" t="s">
        <v>223</v>
      </c>
      <c r="E379" s="227" t="s">
        <v>1191</v>
      </c>
      <c r="F379" s="196" t="s">
        <v>219</v>
      </c>
      <c r="G379" s="196" t="s">
        <v>164</v>
      </c>
      <c r="H379">
        <f t="shared" ref="H379" si="189">LEN(E379)</f>
        <v>26</v>
      </c>
    </row>
    <row r="380" spans="1:8" x14ac:dyDescent="0.35">
      <c r="A380" s="196" t="s">
        <v>250</v>
      </c>
      <c r="B380" s="196" t="s">
        <v>1167</v>
      </c>
      <c r="C380" s="222" t="str">
        <f>IF(B380="",C378,B380)</f>
        <v>247</v>
      </c>
      <c r="D380" s="196"/>
      <c r="E380" s="205" t="s">
        <v>1168</v>
      </c>
      <c r="F380" s="196" t="s">
        <v>216</v>
      </c>
      <c r="G380" s="196" t="s">
        <v>217</v>
      </c>
      <c r="H380">
        <f t="shared" si="187"/>
        <v>29</v>
      </c>
    </row>
    <row r="381" spans="1:8" x14ac:dyDescent="0.35">
      <c r="A381" s="196"/>
      <c r="B381" s="196"/>
      <c r="C381" s="222" t="str">
        <f t="shared" si="186"/>
        <v>247</v>
      </c>
      <c r="D381" s="196" t="s">
        <v>218</v>
      </c>
      <c r="E381" s="209" t="s">
        <v>1170</v>
      </c>
      <c r="F381" s="196" t="s">
        <v>219</v>
      </c>
      <c r="G381" s="196" t="s">
        <v>164</v>
      </c>
      <c r="H381">
        <f t="shared" si="187"/>
        <v>11</v>
      </c>
    </row>
    <row r="382" spans="1:8" x14ac:dyDescent="0.35">
      <c r="A382" s="196"/>
      <c r="B382" s="196"/>
      <c r="C382" s="222" t="str">
        <f t="shared" ref="C382" si="190">IF(B382="",C381,B382)</f>
        <v>247</v>
      </c>
      <c r="D382" s="196" t="s">
        <v>221</v>
      </c>
      <c r="E382" s="209" t="s">
        <v>1169</v>
      </c>
      <c r="F382" s="196" t="s">
        <v>219</v>
      </c>
      <c r="G382" s="196" t="s">
        <v>164</v>
      </c>
      <c r="H382">
        <f t="shared" ref="H382" si="191">LEN(E382)</f>
        <v>19</v>
      </c>
    </row>
    <row r="383" spans="1:8" x14ac:dyDescent="0.35">
      <c r="A383" s="196" t="s">
        <v>250</v>
      </c>
      <c r="B383" s="196" t="s">
        <v>388</v>
      </c>
      <c r="C383" s="222" t="str">
        <f>IF(B383="",C374,B383)</f>
        <v>27</v>
      </c>
      <c r="D383" s="196"/>
      <c r="E383" s="204" t="s">
        <v>389</v>
      </c>
      <c r="F383" s="196" t="s">
        <v>254</v>
      </c>
      <c r="G383" s="196" t="s">
        <v>217</v>
      </c>
      <c r="H383">
        <f t="shared" si="170"/>
        <v>20</v>
      </c>
    </row>
    <row r="384" spans="1:8" x14ac:dyDescent="0.35">
      <c r="A384" s="196" t="s">
        <v>250</v>
      </c>
      <c r="B384" s="196" t="s">
        <v>390</v>
      </c>
      <c r="C384" s="222" t="str">
        <f t="shared" si="171"/>
        <v>285</v>
      </c>
      <c r="D384" s="196"/>
      <c r="E384" s="205" t="s">
        <v>391</v>
      </c>
      <c r="F384" s="196" t="s">
        <v>216</v>
      </c>
      <c r="G384" s="196" t="s">
        <v>217</v>
      </c>
      <c r="H384">
        <f t="shared" si="170"/>
        <v>12</v>
      </c>
    </row>
    <row r="385" spans="1:8" x14ac:dyDescent="0.35">
      <c r="A385" s="196"/>
      <c r="B385" s="196"/>
      <c r="C385" s="222" t="str">
        <f t="shared" si="171"/>
        <v>285</v>
      </c>
      <c r="D385" s="196" t="s">
        <v>218</v>
      </c>
      <c r="E385" s="209" t="s">
        <v>662</v>
      </c>
      <c r="F385" s="196" t="s">
        <v>219</v>
      </c>
      <c r="G385" s="196" t="s">
        <v>164</v>
      </c>
      <c r="H385">
        <f t="shared" si="170"/>
        <v>12</v>
      </c>
    </row>
    <row r="386" spans="1:8" x14ac:dyDescent="0.35">
      <c r="A386" s="196" t="s">
        <v>250</v>
      </c>
      <c r="B386" s="196" t="s">
        <v>918</v>
      </c>
      <c r="C386" s="222" t="str">
        <f t="shared" ref="C386:C387" si="192">IF(B386="",C385,B386)</f>
        <v>286</v>
      </c>
      <c r="D386" s="196"/>
      <c r="E386" s="205" t="s">
        <v>919</v>
      </c>
      <c r="F386" s="196" t="s">
        <v>216</v>
      </c>
      <c r="G386" s="196" t="s">
        <v>217</v>
      </c>
      <c r="H386">
        <f t="shared" ref="H386:H387" si="193">LEN(E386)</f>
        <v>24</v>
      </c>
    </row>
    <row r="387" spans="1:8" x14ac:dyDescent="0.35">
      <c r="A387" s="196"/>
      <c r="B387" s="196"/>
      <c r="C387" s="222" t="str">
        <f t="shared" si="192"/>
        <v>286</v>
      </c>
      <c r="D387" s="196" t="s">
        <v>218</v>
      </c>
      <c r="E387" s="209" t="s">
        <v>920</v>
      </c>
      <c r="F387" s="196" t="s">
        <v>219</v>
      </c>
      <c r="G387" s="196" t="s">
        <v>164</v>
      </c>
      <c r="H387">
        <f t="shared" si="193"/>
        <v>24</v>
      </c>
    </row>
    <row r="388" spans="1:8" x14ac:dyDescent="0.35">
      <c r="A388" s="196" t="s">
        <v>250</v>
      </c>
      <c r="B388" s="196" t="s">
        <v>252</v>
      </c>
      <c r="C388" s="222" t="str">
        <f>IF(B388="",C385,B388)</f>
        <v>3</v>
      </c>
      <c r="D388" s="196"/>
      <c r="E388" s="196" t="s">
        <v>392</v>
      </c>
      <c r="F388" s="196" t="s">
        <v>252</v>
      </c>
      <c r="G388" s="196" t="s">
        <v>217</v>
      </c>
      <c r="H388">
        <f t="shared" si="170"/>
        <v>7</v>
      </c>
    </row>
    <row r="389" spans="1:8" x14ac:dyDescent="0.35">
      <c r="A389" s="196" t="s">
        <v>250</v>
      </c>
      <c r="B389" s="196" t="s">
        <v>393</v>
      </c>
      <c r="C389" s="222" t="str">
        <f t="shared" si="171"/>
        <v>30</v>
      </c>
      <c r="D389" s="196"/>
      <c r="E389" s="204" t="s">
        <v>394</v>
      </c>
      <c r="F389" s="196" t="s">
        <v>254</v>
      </c>
      <c r="G389" s="196" t="s">
        <v>217</v>
      </c>
      <c r="H389">
        <f t="shared" si="170"/>
        <v>16</v>
      </c>
    </row>
    <row r="390" spans="1:8" x14ac:dyDescent="0.35">
      <c r="A390" s="196" t="s">
        <v>250</v>
      </c>
      <c r="B390" s="196" t="s">
        <v>395</v>
      </c>
      <c r="C390" s="222" t="str">
        <f t="shared" si="171"/>
        <v>300</v>
      </c>
      <c r="D390" s="196"/>
      <c r="E390" s="205" t="s">
        <v>396</v>
      </c>
      <c r="F390" s="196" t="s">
        <v>216</v>
      </c>
      <c r="G390" s="196" t="s">
        <v>217</v>
      </c>
      <c r="H390">
        <f t="shared" si="170"/>
        <v>14</v>
      </c>
    </row>
    <row r="391" spans="1:8" x14ac:dyDescent="0.35">
      <c r="A391" s="196"/>
      <c r="B391" s="196"/>
      <c r="C391" s="222" t="str">
        <f t="shared" si="171"/>
        <v>300</v>
      </c>
      <c r="D391" s="196" t="s">
        <v>218</v>
      </c>
      <c r="E391" s="209" t="s">
        <v>711</v>
      </c>
      <c r="F391" s="196" t="s">
        <v>219</v>
      </c>
      <c r="G391" s="196" t="s">
        <v>164</v>
      </c>
      <c r="H391">
        <f t="shared" si="170"/>
        <v>19</v>
      </c>
    </row>
    <row r="392" spans="1:8" x14ac:dyDescent="0.35">
      <c r="A392" s="196"/>
      <c r="B392" s="196"/>
      <c r="C392" s="222" t="str">
        <f t="shared" si="171"/>
        <v>300</v>
      </c>
      <c r="D392" s="196" t="s">
        <v>221</v>
      </c>
      <c r="E392" s="209" t="s">
        <v>710</v>
      </c>
      <c r="F392" s="196" t="s">
        <v>219</v>
      </c>
      <c r="G392" s="196" t="s">
        <v>164</v>
      </c>
      <c r="H392">
        <f t="shared" si="170"/>
        <v>23</v>
      </c>
    </row>
    <row r="393" spans="1:8" x14ac:dyDescent="0.35">
      <c r="A393" s="196"/>
      <c r="B393" s="196"/>
      <c r="C393" s="222" t="str">
        <f t="shared" si="171"/>
        <v>300</v>
      </c>
      <c r="D393" s="196" t="s">
        <v>286</v>
      </c>
      <c r="E393" s="209" t="s">
        <v>663</v>
      </c>
      <c r="F393" s="196" t="s">
        <v>219</v>
      </c>
      <c r="G393" s="196" t="s">
        <v>164</v>
      </c>
      <c r="H393">
        <f t="shared" si="170"/>
        <v>24</v>
      </c>
    </row>
    <row r="394" spans="1:8" x14ac:dyDescent="0.35">
      <c r="A394" s="196" t="s">
        <v>250</v>
      </c>
      <c r="B394" s="196" t="s">
        <v>397</v>
      </c>
      <c r="C394" s="222" t="str">
        <f t="shared" si="171"/>
        <v>310</v>
      </c>
      <c r="D394" s="196"/>
      <c r="E394" s="205" t="s">
        <v>398</v>
      </c>
      <c r="F394" s="196" t="s">
        <v>216</v>
      </c>
      <c r="G394" s="196" t="s">
        <v>217</v>
      </c>
      <c r="H394">
        <f t="shared" si="170"/>
        <v>13</v>
      </c>
    </row>
    <row r="395" spans="1:8" x14ac:dyDescent="0.35">
      <c r="A395" s="196"/>
      <c r="B395" s="196"/>
      <c r="C395" s="222" t="str">
        <f t="shared" si="171"/>
        <v>310</v>
      </c>
      <c r="D395" s="196" t="s">
        <v>218</v>
      </c>
      <c r="E395" s="209" t="s">
        <v>665</v>
      </c>
      <c r="F395" s="196" t="s">
        <v>219</v>
      </c>
      <c r="G395" s="196" t="s">
        <v>164</v>
      </c>
      <c r="H395">
        <f t="shared" si="170"/>
        <v>13</v>
      </c>
    </row>
    <row r="396" spans="1:8" x14ac:dyDescent="0.35">
      <c r="A396" s="196"/>
      <c r="B396" s="196"/>
      <c r="C396" s="222" t="str">
        <f t="shared" si="171"/>
        <v>310</v>
      </c>
      <c r="D396" s="196" t="s">
        <v>286</v>
      </c>
      <c r="E396" s="209" t="s">
        <v>664</v>
      </c>
      <c r="F396" s="196" t="s">
        <v>219</v>
      </c>
      <c r="G396" s="196" t="s">
        <v>164</v>
      </c>
      <c r="H396">
        <f t="shared" si="170"/>
        <v>23</v>
      </c>
    </row>
    <row r="397" spans="1:8" x14ac:dyDescent="0.35">
      <c r="A397" s="196" t="s">
        <v>250</v>
      </c>
      <c r="B397" s="196" t="s">
        <v>399</v>
      </c>
      <c r="C397" s="222" t="str">
        <f t="shared" si="171"/>
        <v>315</v>
      </c>
      <c r="D397" s="196" t="s">
        <v>162</v>
      </c>
      <c r="E397" s="205" t="s">
        <v>682</v>
      </c>
      <c r="F397" s="196" t="s">
        <v>216</v>
      </c>
      <c r="G397" s="196" t="s">
        <v>217</v>
      </c>
      <c r="H397">
        <f t="shared" si="170"/>
        <v>25</v>
      </c>
    </row>
    <row r="398" spans="1:8" x14ac:dyDescent="0.35">
      <c r="A398" s="196"/>
      <c r="B398" s="196"/>
      <c r="C398" s="222" t="str">
        <f t="shared" si="171"/>
        <v>315</v>
      </c>
      <c r="D398" s="196" t="s">
        <v>218</v>
      </c>
      <c r="E398" s="209" t="s">
        <v>666</v>
      </c>
      <c r="F398" s="196" t="s">
        <v>219</v>
      </c>
      <c r="G398" s="196" t="s">
        <v>164</v>
      </c>
      <c r="H398">
        <f t="shared" si="170"/>
        <v>28</v>
      </c>
    </row>
    <row r="399" spans="1:8" x14ac:dyDescent="0.35">
      <c r="A399" s="196"/>
      <c r="B399" s="196"/>
      <c r="C399" s="222" t="str">
        <f t="shared" si="171"/>
        <v>315</v>
      </c>
      <c r="D399" s="196" t="s">
        <v>286</v>
      </c>
      <c r="E399" s="209" t="s">
        <v>680</v>
      </c>
      <c r="F399" s="196" t="s">
        <v>219</v>
      </c>
      <c r="G399" s="196" t="s">
        <v>164</v>
      </c>
      <c r="H399">
        <f t="shared" si="170"/>
        <v>29</v>
      </c>
    </row>
    <row r="400" spans="1:8" x14ac:dyDescent="0.35">
      <c r="A400" s="196" t="s">
        <v>250</v>
      </c>
      <c r="B400" s="196" t="s">
        <v>400</v>
      </c>
      <c r="C400" s="222" t="str">
        <f t="shared" si="171"/>
        <v>320</v>
      </c>
      <c r="D400" s="196"/>
      <c r="E400" s="205" t="s">
        <v>401</v>
      </c>
      <c r="F400" s="196" t="s">
        <v>216</v>
      </c>
      <c r="G400" s="196" t="s">
        <v>217</v>
      </c>
      <c r="H400">
        <f t="shared" si="170"/>
        <v>23</v>
      </c>
    </row>
    <row r="401" spans="1:8" x14ac:dyDescent="0.35">
      <c r="A401" s="196"/>
      <c r="B401" s="196"/>
      <c r="C401" s="222" t="str">
        <f t="shared" si="171"/>
        <v>320</v>
      </c>
      <c r="D401" s="196" t="s">
        <v>218</v>
      </c>
      <c r="E401" s="209" t="s">
        <v>667</v>
      </c>
      <c r="F401" s="196" t="s">
        <v>219</v>
      </c>
      <c r="G401" s="196" t="s">
        <v>164</v>
      </c>
      <c r="H401">
        <f t="shared" si="170"/>
        <v>23</v>
      </c>
    </row>
    <row r="402" spans="1:8" x14ac:dyDescent="0.35">
      <c r="A402" s="196"/>
      <c r="B402" s="196"/>
      <c r="C402" s="222" t="str">
        <f t="shared" si="171"/>
        <v>320</v>
      </c>
      <c r="D402" s="196" t="s">
        <v>286</v>
      </c>
      <c r="E402" s="209" t="s">
        <v>681</v>
      </c>
      <c r="F402" s="196" t="s">
        <v>219</v>
      </c>
      <c r="G402" s="196" t="s">
        <v>164</v>
      </c>
      <c r="H402">
        <f t="shared" si="170"/>
        <v>27</v>
      </c>
    </row>
    <row r="403" spans="1:8" x14ac:dyDescent="0.35">
      <c r="A403" s="196" t="s">
        <v>250</v>
      </c>
      <c r="B403" s="196" t="s">
        <v>402</v>
      </c>
      <c r="C403" s="222" t="str">
        <f t="shared" si="171"/>
        <v>325</v>
      </c>
      <c r="D403" s="196"/>
      <c r="E403" s="205" t="s">
        <v>403</v>
      </c>
      <c r="F403" s="196" t="s">
        <v>216</v>
      </c>
      <c r="G403" s="196" t="s">
        <v>217</v>
      </c>
      <c r="H403">
        <f t="shared" si="170"/>
        <v>26</v>
      </c>
    </row>
    <row r="404" spans="1:8" x14ac:dyDescent="0.35">
      <c r="A404" s="196"/>
      <c r="B404" s="196"/>
      <c r="C404" s="222" t="str">
        <f t="shared" si="171"/>
        <v>325</v>
      </c>
      <c r="D404" s="196" t="s">
        <v>218</v>
      </c>
      <c r="E404" s="209" t="s">
        <v>668</v>
      </c>
      <c r="F404" s="196" t="s">
        <v>219</v>
      </c>
      <c r="G404" s="196" t="s">
        <v>217</v>
      </c>
      <c r="H404">
        <f t="shared" si="170"/>
        <v>26</v>
      </c>
    </row>
    <row r="405" spans="1:8" x14ac:dyDescent="0.35">
      <c r="A405" s="196" t="s">
        <v>250</v>
      </c>
      <c r="B405" s="196" t="s">
        <v>404</v>
      </c>
      <c r="C405" s="222" t="str">
        <f t="shared" si="171"/>
        <v>330</v>
      </c>
      <c r="D405" s="196" t="s">
        <v>162</v>
      </c>
      <c r="E405" s="205" t="s">
        <v>700</v>
      </c>
      <c r="F405" s="196" t="s">
        <v>216</v>
      </c>
      <c r="G405" s="196" t="s">
        <v>164</v>
      </c>
      <c r="H405">
        <f t="shared" si="170"/>
        <v>30</v>
      </c>
    </row>
    <row r="406" spans="1:8" x14ac:dyDescent="0.35">
      <c r="A406" s="196"/>
      <c r="B406" s="196"/>
      <c r="C406" s="222" t="str">
        <f t="shared" si="171"/>
        <v>330</v>
      </c>
      <c r="D406" s="196" t="s">
        <v>218</v>
      </c>
      <c r="E406" s="209" t="s">
        <v>701</v>
      </c>
      <c r="F406" s="196" t="s">
        <v>219</v>
      </c>
      <c r="G406" s="196" t="s">
        <v>217</v>
      </c>
      <c r="H406">
        <f t="shared" si="170"/>
        <v>30</v>
      </c>
    </row>
    <row r="407" spans="1:8" x14ac:dyDescent="0.35">
      <c r="A407" s="196" t="s">
        <v>250</v>
      </c>
      <c r="B407" s="196" t="s">
        <v>405</v>
      </c>
      <c r="C407" s="222" t="str">
        <f t="shared" si="171"/>
        <v>335</v>
      </c>
      <c r="D407" s="196" t="s">
        <v>162</v>
      </c>
      <c r="E407" s="205" t="s">
        <v>702</v>
      </c>
      <c r="F407" s="196" t="s">
        <v>216</v>
      </c>
      <c r="G407" s="196" t="s">
        <v>217</v>
      </c>
      <c r="H407">
        <f t="shared" si="170"/>
        <v>30</v>
      </c>
    </row>
    <row r="408" spans="1:8" x14ac:dyDescent="0.35">
      <c r="A408" s="196"/>
      <c r="B408" s="196"/>
      <c r="C408" s="222" t="str">
        <f t="shared" si="171"/>
        <v>335</v>
      </c>
      <c r="D408" s="196" t="s">
        <v>218</v>
      </c>
      <c r="E408" s="208" t="s">
        <v>406</v>
      </c>
      <c r="F408" s="196" t="s">
        <v>219</v>
      </c>
      <c r="G408" s="196" t="s">
        <v>217</v>
      </c>
      <c r="H408">
        <f t="shared" si="170"/>
        <v>25</v>
      </c>
    </row>
    <row r="409" spans="1:8" x14ac:dyDescent="0.35">
      <c r="A409" s="196"/>
      <c r="B409" s="196"/>
      <c r="C409" s="222" t="str">
        <f t="shared" si="171"/>
        <v>335</v>
      </c>
      <c r="D409" s="196" t="s">
        <v>53</v>
      </c>
      <c r="E409" s="213" t="s">
        <v>644</v>
      </c>
      <c r="F409" s="196" t="s">
        <v>247</v>
      </c>
      <c r="G409" s="196" t="s">
        <v>164</v>
      </c>
      <c r="H409">
        <f t="shared" si="170"/>
        <v>18</v>
      </c>
    </row>
    <row r="410" spans="1:8" x14ac:dyDescent="0.35">
      <c r="A410" s="196"/>
      <c r="B410" s="196"/>
      <c r="C410" s="222" t="str">
        <f t="shared" si="171"/>
        <v>335</v>
      </c>
      <c r="D410" s="196" t="s">
        <v>286</v>
      </c>
      <c r="E410" s="209" t="s">
        <v>703</v>
      </c>
      <c r="F410" s="196" t="s">
        <v>219</v>
      </c>
      <c r="G410" s="196" t="s">
        <v>164</v>
      </c>
      <c r="H410">
        <f t="shared" si="170"/>
        <v>29</v>
      </c>
    </row>
    <row r="411" spans="1:8" x14ac:dyDescent="0.35">
      <c r="A411" s="196" t="s">
        <v>250</v>
      </c>
      <c r="B411" s="196" t="s">
        <v>407</v>
      </c>
      <c r="C411" s="222" t="str">
        <f t="shared" si="171"/>
        <v>340</v>
      </c>
      <c r="D411" s="196"/>
      <c r="E411" s="205" t="s">
        <v>704</v>
      </c>
      <c r="F411" s="196" t="s">
        <v>216</v>
      </c>
      <c r="G411" s="196" t="s">
        <v>217</v>
      </c>
      <c r="H411">
        <f t="shared" si="170"/>
        <v>28</v>
      </c>
    </row>
    <row r="412" spans="1:8" x14ac:dyDescent="0.35">
      <c r="A412" s="196"/>
      <c r="B412" s="196"/>
      <c r="C412" s="222" t="str">
        <f t="shared" si="171"/>
        <v>340</v>
      </c>
      <c r="D412" s="196" t="s">
        <v>218</v>
      </c>
      <c r="E412" s="209" t="s">
        <v>705</v>
      </c>
      <c r="F412" s="196" t="s">
        <v>219</v>
      </c>
      <c r="G412" s="196" t="s">
        <v>164</v>
      </c>
      <c r="H412">
        <f t="shared" si="170"/>
        <v>28</v>
      </c>
    </row>
    <row r="413" spans="1:8" x14ac:dyDescent="0.35">
      <c r="A413" s="196" t="s">
        <v>213</v>
      </c>
      <c r="B413" s="196" t="s">
        <v>254</v>
      </c>
      <c r="C413" s="222" t="str">
        <f t="shared" si="171"/>
        <v>4</v>
      </c>
      <c r="D413" s="196"/>
      <c r="E413" s="196" t="s">
        <v>408</v>
      </c>
      <c r="F413" s="196" t="s">
        <v>252</v>
      </c>
      <c r="G413" s="196" t="s">
        <v>217</v>
      </c>
      <c r="H413">
        <f t="shared" si="170"/>
        <v>21</v>
      </c>
    </row>
    <row r="414" spans="1:8" x14ac:dyDescent="0.35">
      <c r="A414" s="196" t="s">
        <v>213</v>
      </c>
      <c r="B414" s="196" t="s">
        <v>409</v>
      </c>
      <c r="C414" s="222" t="str">
        <f t="shared" si="171"/>
        <v>40</v>
      </c>
      <c r="D414" s="196"/>
      <c r="E414" s="204" t="s">
        <v>410</v>
      </c>
      <c r="F414" s="196" t="s">
        <v>254</v>
      </c>
      <c r="G414" s="196" t="s">
        <v>217</v>
      </c>
      <c r="H414">
        <f t="shared" si="170"/>
        <v>8</v>
      </c>
    </row>
    <row r="415" spans="1:8" x14ac:dyDescent="0.35">
      <c r="A415" s="196" t="s">
        <v>213</v>
      </c>
      <c r="B415" s="196" t="s">
        <v>220</v>
      </c>
      <c r="C415" s="222" t="str">
        <f t="shared" si="171"/>
        <v>400</v>
      </c>
      <c r="D415" s="196"/>
      <c r="E415" s="205" t="s">
        <v>117</v>
      </c>
      <c r="F415" s="196" t="s">
        <v>216</v>
      </c>
      <c r="G415" s="196" t="s">
        <v>217</v>
      </c>
      <c r="H415">
        <f t="shared" si="170"/>
        <v>6</v>
      </c>
    </row>
    <row r="416" spans="1:8" x14ac:dyDescent="0.35">
      <c r="A416" s="196"/>
      <c r="B416" s="196"/>
      <c r="C416" s="222" t="str">
        <f t="shared" si="171"/>
        <v>400</v>
      </c>
      <c r="D416" s="196" t="s">
        <v>218</v>
      </c>
      <c r="E416" s="205" t="s">
        <v>724</v>
      </c>
      <c r="F416" s="196" t="s">
        <v>219</v>
      </c>
      <c r="G416" s="196" t="s">
        <v>217</v>
      </c>
    </row>
    <row r="417" spans="1:8" x14ac:dyDescent="0.35">
      <c r="A417" s="196"/>
      <c r="B417" s="196"/>
      <c r="C417" s="222" t="str">
        <f>IF(B417="",C415,B417)</f>
        <v>400</v>
      </c>
      <c r="D417" s="196" t="s">
        <v>53</v>
      </c>
      <c r="E417" s="209" t="s">
        <v>455</v>
      </c>
      <c r="F417" s="196" t="s">
        <v>247</v>
      </c>
      <c r="G417" s="196" t="s">
        <v>292</v>
      </c>
      <c r="H417">
        <f t="shared" si="170"/>
        <v>13</v>
      </c>
    </row>
    <row r="418" spans="1:8" x14ac:dyDescent="0.35">
      <c r="A418" s="196"/>
      <c r="B418" s="196"/>
      <c r="C418" s="222" t="str">
        <f t="shared" ref="C418:C452" si="194">IF(B418="",C417,B418)</f>
        <v>400</v>
      </c>
      <c r="D418" s="196" t="s">
        <v>55</v>
      </c>
      <c r="E418" s="209" t="s">
        <v>499</v>
      </c>
      <c r="F418" s="196" t="s">
        <v>219</v>
      </c>
      <c r="G418" s="196" t="s">
        <v>292</v>
      </c>
      <c r="H418">
        <f t="shared" si="170"/>
        <v>22</v>
      </c>
    </row>
    <row r="419" spans="1:8" x14ac:dyDescent="0.35">
      <c r="A419" s="196"/>
      <c r="B419" s="196"/>
      <c r="C419" s="222" t="str">
        <f t="shared" si="194"/>
        <v>400</v>
      </c>
      <c r="D419" s="196" t="s">
        <v>57</v>
      </c>
      <c r="E419" s="209" t="s">
        <v>500</v>
      </c>
      <c r="F419" s="196" t="s">
        <v>219</v>
      </c>
      <c r="G419" s="196" t="s">
        <v>292</v>
      </c>
      <c r="H419">
        <f t="shared" si="170"/>
        <v>10</v>
      </c>
    </row>
    <row r="420" spans="1:8" x14ac:dyDescent="0.35">
      <c r="A420" s="196"/>
      <c r="B420" s="196"/>
      <c r="C420" s="222" t="str">
        <f t="shared" si="194"/>
        <v>400</v>
      </c>
      <c r="D420" s="196" t="s">
        <v>59</v>
      </c>
      <c r="E420" s="209" t="s">
        <v>601</v>
      </c>
      <c r="F420" s="196" t="s">
        <v>219</v>
      </c>
      <c r="G420" s="196" t="s">
        <v>292</v>
      </c>
      <c r="H420">
        <f t="shared" si="170"/>
        <v>25</v>
      </c>
    </row>
    <row r="421" spans="1:8" x14ac:dyDescent="0.35">
      <c r="A421" s="196"/>
      <c r="B421" s="196"/>
      <c r="C421" s="222" t="str">
        <f t="shared" si="194"/>
        <v>400</v>
      </c>
      <c r="D421" s="196" t="s">
        <v>229</v>
      </c>
      <c r="E421" s="209" t="s">
        <v>456</v>
      </c>
      <c r="F421" s="196" t="s">
        <v>219</v>
      </c>
      <c r="G421" s="196" t="s">
        <v>292</v>
      </c>
      <c r="H421">
        <f t="shared" si="170"/>
        <v>13</v>
      </c>
    </row>
    <row r="422" spans="1:8" x14ac:dyDescent="0.35">
      <c r="A422" s="196"/>
      <c r="B422" s="196"/>
      <c r="C422" s="222" t="str">
        <f t="shared" si="194"/>
        <v>400</v>
      </c>
      <c r="D422" s="196" t="s">
        <v>230</v>
      </c>
      <c r="E422" s="209" t="s">
        <v>501</v>
      </c>
      <c r="F422" s="196" t="s">
        <v>219</v>
      </c>
      <c r="G422" s="196" t="s">
        <v>292</v>
      </c>
      <c r="H422">
        <f t="shared" si="170"/>
        <v>14</v>
      </c>
    </row>
    <row r="423" spans="1:8" x14ac:dyDescent="0.35">
      <c r="A423" s="196"/>
      <c r="B423" s="196"/>
      <c r="C423" s="222" t="str">
        <f t="shared" si="194"/>
        <v>400</v>
      </c>
      <c r="D423" s="196" t="s">
        <v>231</v>
      </c>
      <c r="E423" s="209" t="s">
        <v>502</v>
      </c>
      <c r="F423" s="196" t="s">
        <v>219</v>
      </c>
      <c r="G423" s="196" t="s">
        <v>292</v>
      </c>
      <c r="H423">
        <f t="shared" si="170"/>
        <v>16</v>
      </c>
    </row>
    <row r="424" spans="1:8" x14ac:dyDescent="0.35">
      <c r="A424" s="196"/>
      <c r="B424" s="196"/>
      <c r="C424" s="222" t="str">
        <f t="shared" si="194"/>
        <v>400</v>
      </c>
      <c r="D424" s="196" t="s">
        <v>232</v>
      </c>
      <c r="E424" s="209" t="s">
        <v>503</v>
      </c>
      <c r="F424" s="196" t="s">
        <v>219</v>
      </c>
      <c r="G424" s="196" t="s">
        <v>292</v>
      </c>
      <c r="H424">
        <f t="shared" si="170"/>
        <v>16</v>
      </c>
    </row>
    <row r="425" spans="1:8" x14ac:dyDescent="0.35">
      <c r="A425" s="196"/>
      <c r="B425" s="196"/>
      <c r="C425" s="222" t="str">
        <f t="shared" si="194"/>
        <v>400</v>
      </c>
      <c r="D425" s="196" t="s">
        <v>233</v>
      </c>
      <c r="E425" s="209" t="s">
        <v>504</v>
      </c>
      <c r="F425" s="196" t="s">
        <v>219</v>
      </c>
      <c r="G425" s="196" t="s">
        <v>292</v>
      </c>
      <c r="H425">
        <f t="shared" si="170"/>
        <v>14</v>
      </c>
    </row>
    <row r="426" spans="1:8" x14ac:dyDescent="0.35">
      <c r="A426" s="196"/>
      <c r="B426" s="196"/>
      <c r="C426" s="222" t="str">
        <f t="shared" si="194"/>
        <v>400</v>
      </c>
      <c r="D426" s="196" t="s">
        <v>234</v>
      </c>
      <c r="E426" s="209" t="s">
        <v>505</v>
      </c>
      <c r="F426" s="196" t="s">
        <v>219</v>
      </c>
      <c r="G426" s="196" t="s">
        <v>292</v>
      </c>
      <c r="H426">
        <f t="shared" si="170"/>
        <v>16</v>
      </c>
    </row>
    <row r="427" spans="1:8" x14ac:dyDescent="0.35">
      <c r="A427" s="196"/>
      <c r="B427" s="196"/>
      <c r="C427" s="222" t="str">
        <f t="shared" si="194"/>
        <v>400</v>
      </c>
      <c r="D427" s="196" t="s">
        <v>235</v>
      </c>
      <c r="E427" s="209" t="s">
        <v>506</v>
      </c>
      <c r="F427" s="196" t="s">
        <v>219</v>
      </c>
      <c r="G427" s="196" t="s">
        <v>292</v>
      </c>
      <c r="H427">
        <f t="shared" si="170"/>
        <v>14</v>
      </c>
    </row>
    <row r="428" spans="1:8" x14ac:dyDescent="0.35">
      <c r="A428" s="196"/>
      <c r="B428" s="196"/>
      <c r="C428" s="222" t="str">
        <f t="shared" si="194"/>
        <v>400</v>
      </c>
      <c r="D428" s="196" t="s">
        <v>236</v>
      </c>
      <c r="E428" s="209" t="s">
        <v>602</v>
      </c>
      <c r="F428" s="196" t="s">
        <v>219</v>
      </c>
      <c r="G428" s="196" t="s">
        <v>292</v>
      </c>
      <c r="H428">
        <f t="shared" si="170"/>
        <v>13</v>
      </c>
    </row>
    <row r="429" spans="1:8" x14ac:dyDescent="0.35">
      <c r="A429" s="196"/>
      <c r="B429" s="196"/>
      <c r="C429" s="222" t="str">
        <f t="shared" si="194"/>
        <v>400</v>
      </c>
      <c r="D429" s="196" t="s">
        <v>237</v>
      </c>
      <c r="E429" s="209" t="s">
        <v>507</v>
      </c>
      <c r="F429" s="196" t="s">
        <v>219</v>
      </c>
      <c r="G429" s="196" t="s">
        <v>292</v>
      </c>
      <c r="H429">
        <f t="shared" si="170"/>
        <v>13</v>
      </c>
    </row>
    <row r="430" spans="1:8" x14ac:dyDescent="0.35">
      <c r="A430" s="196"/>
      <c r="B430" s="196"/>
      <c r="C430" s="222" t="str">
        <f t="shared" ref="C430" si="195">IF(B430="",C429,B430)</f>
        <v>400</v>
      </c>
      <c r="D430" s="196" t="s">
        <v>238</v>
      </c>
      <c r="E430" s="209" t="s">
        <v>862</v>
      </c>
      <c r="F430" s="196" t="s">
        <v>219</v>
      </c>
      <c r="G430" s="196" t="s">
        <v>292</v>
      </c>
      <c r="H430">
        <f t="shared" ref="H430" si="196">LEN(E430)</f>
        <v>13</v>
      </c>
    </row>
    <row r="431" spans="1:8" x14ac:dyDescent="0.35">
      <c r="A431" s="196"/>
      <c r="B431" s="196"/>
      <c r="C431" s="223" t="str">
        <f t="shared" ref="C431:C432" si="197">IF(B431="",C430,B431)</f>
        <v>400</v>
      </c>
      <c r="D431" s="224" t="s">
        <v>239</v>
      </c>
      <c r="E431" s="227" t="s">
        <v>1129</v>
      </c>
      <c r="F431" s="224" t="s">
        <v>219</v>
      </c>
      <c r="G431" s="224" t="s">
        <v>292</v>
      </c>
      <c r="H431" s="16">
        <f t="shared" ref="H431:H432" si="198">LEN(E431)</f>
        <v>13</v>
      </c>
    </row>
    <row r="432" spans="1:8" x14ac:dyDescent="0.35">
      <c r="A432" s="196"/>
      <c r="B432" s="196"/>
      <c r="C432" s="223" t="str">
        <f t="shared" si="197"/>
        <v>400</v>
      </c>
      <c r="D432" s="224" t="s">
        <v>240</v>
      </c>
      <c r="E432" s="227" t="s">
        <v>1130</v>
      </c>
      <c r="F432" s="224" t="s">
        <v>219</v>
      </c>
      <c r="G432" s="224" t="s">
        <v>292</v>
      </c>
      <c r="H432" s="16">
        <f t="shared" si="198"/>
        <v>12</v>
      </c>
    </row>
    <row r="433" spans="1:8" x14ac:dyDescent="0.35">
      <c r="A433" s="196"/>
      <c r="B433" s="196"/>
      <c r="C433" s="222" t="str">
        <f>IF(B433="",C429,B433)</f>
        <v>400</v>
      </c>
      <c r="D433" s="196" t="s">
        <v>221</v>
      </c>
      <c r="E433" s="205" t="s">
        <v>725</v>
      </c>
      <c r="F433" s="196" t="s">
        <v>219</v>
      </c>
      <c r="G433" s="196" t="s">
        <v>217</v>
      </c>
    </row>
    <row r="434" spans="1:8" x14ac:dyDescent="0.35">
      <c r="A434" s="196"/>
      <c r="B434" s="196"/>
      <c r="C434" s="222" t="str">
        <f t="shared" si="194"/>
        <v>400</v>
      </c>
      <c r="D434" s="196" t="s">
        <v>272</v>
      </c>
      <c r="E434" s="209" t="s">
        <v>455</v>
      </c>
      <c r="F434" s="196" t="s">
        <v>247</v>
      </c>
      <c r="G434" s="196" t="s">
        <v>292</v>
      </c>
      <c r="H434">
        <f t="shared" ref="H434:H446" si="199">LEN(E434)</f>
        <v>13</v>
      </c>
    </row>
    <row r="435" spans="1:8" x14ac:dyDescent="0.35">
      <c r="A435" s="196"/>
      <c r="B435" s="196"/>
      <c r="C435" s="222" t="str">
        <f t="shared" si="194"/>
        <v>400</v>
      </c>
      <c r="D435" s="196" t="s">
        <v>275</v>
      </c>
      <c r="E435" s="209" t="s">
        <v>499</v>
      </c>
      <c r="F435" s="196" t="s">
        <v>219</v>
      </c>
      <c r="G435" s="196" t="s">
        <v>292</v>
      </c>
      <c r="H435">
        <f t="shared" si="199"/>
        <v>22</v>
      </c>
    </row>
    <row r="436" spans="1:8" x14ac:dyDescent="0.35">
      <c r="A436" s="196"/>
      <c r="B436" s="196"/>
      <c r="C436" s="222" t="str">
        <f t="shared" si="194"/>
        <v>400</v>
      </c>
      <c r="D436" s="196" t="s">
        <v>278</v>
      </c>
      <c r="E436" s="209" t="s">
        <v>500</v>
      </c>
      <c r="F436" s="196" t="s">
        <v>219</v>
      </c>
      <c r="G436" s="196" t="s">
        <v>292</v>
      </c>
      <c r="H436">
        <f t="shared" si="199"/>
        <v>10</v>
      </c>
    </row>
    <row r="437" spans="1:8" x14ac:dyDescent="0.35">
      <c r="A437" s="196"/>
      <c r="B437" s="196"/>
      <c r="C437" s="222" t="str">
        <f t="shared" si="194"/>
        <v>400</v>
      </c>
      <c r="D437" s="196" t="s">
        <v>281</v>
      </c>
      <c r="E437" s="209" t="s">
        <v>601</v>
      </c>
      <c r="F437" s="196" t="s">
        <v>219</v>
      </c>
      <c r="G437" s="196" t="s">
        <v>292</v>
      </c>
      <c r="H437">
        <f t="shared" si="199"/>
        <v>25</v>
      </c>
    </row>
    <row r="438" spans="1:8" x14ac:dyDescent="0.35">
      <c r="A438" s="196"/>
      <c r="B438" s="196"/>
      <c r="C438" s="222" t="str">
        <f t="shared" si="194"/>
        <v>400</v>
      </c>
      <c r="D438" s="196" t="s">
        <v>298</v>
      </c>
      <c r="E438" s="209" t="s">
        <v>456</v>
      </c>
      <c r="F438" s="196" t="s">
        <v>219</v>
      </c>
      <c r="G438" s="196" t="s">
        <v>292</v>
      </c>
      <c r="H438">
        <f t="shared" si="199"/>
        <v>13</v>
      </c>
    </row>
    <row r="439" spans="1:8" x14ac:dyDescent="0.35">
      <c r="A439" s="196"/>
      <c r="B439" s="196"/>
      <c r="C439" s="222" t="str">
        <f t="shared" si="194"/>
        <v>400</v>
      </c>
      <c r="D439" s="196" t="s">
        <v>299</v>
      </c>
      <c r="E439" s="209" t="s">
        <v>501</v>
      </c>
      <c r="F439" s="196" t="s">
        <v>219</v>
      </c>
      <c r="G439" s="196" t="s">
        <v>292</v>
      </c>
      <c r="H439">
        <f t="shared" si="199"/>
        <v>14</v>
      </c>
    </row>
    <row r="440" spans="1:8" x14ac:dyDescent="0.35">
      <c r="A440" s="196"/>
      <c r="B440" s="196"/>
      <c r="C440" s="222" t="str">
        <f t="shared" si="194"/>
        <v>400</v>
      </c>
      <c r="D440" s="196" t="s">
        <v>300</v>
      </c>
      <c r="E440" s="209" t="s">
        <v>502</v>
      </c>
      <c r="F440" s="196" t="s">
        <v>219</v>
      </c>
      <c r="G440" s="196" t="s">
        <v>292</v>
      </c>
      <c r="H440">
        <f t="shared" si="199"/>
        <v>16</v>
      </c>
    </row>
    <row r="441" spans="1:8" x14ac:dyDescent="0.35">
      <c r="A441" s="196"/>
      <c r="B441" s="196"/>
      <c r="C441" s="222" t="str">
        <f t="shared" si="194"/>
        <v>400</v>
      </c>
      <c r="D441" s="196" t="s">
        <v>301</v>
      </c>
      <c r="E441" s="209" t="s">
        <v>503</v>
      </c>
      <c r="F441" s="196" t="s">
        <v>219</v>
      </c>
      <c r="G441" s="196" t="s">
        <v>292</v>
      </c>
      <c r="H441">
        <f t="shared" si="199"/>
        <v>16</v>
      </c>
    </row>
    <row r="442" spans="1:8" x14ac:dyDescent="0.35">
      <c r="A442" s="196"/>
      <c r="B442" s="196"/>
      <c r="C442" s="222" t="str">
        <f t="shared" si="194"/>
        <v>400</v>
      </c>
      <c r="D442" s="196" t="s">
        <v>414</v>
      </c>
      <c r="E442" s="209" t="s">
        <v>504</v>
      </c>
      <c r="F442" s="196" t="s">
        <v>219</v>
      </c>
      <c r="G442" s="196" t="s">
        <v>292</v>
      </c>
      <c r="H442">
        <f t="shared" si="199"/>
        <v>14</v>
      </c>
    </row>
    <row r="443" spans="1:8" x14ac:dyDescent="0.35">
      <c r="A443" s="196"/>
      <c r="B443" s="196"/>
      <c r="C443" s="222" t="str">
        <f t="shared" si="194"/>
        <v>400</v>
      </c>
      <c r="D443" s="196" t="s">
        <v>415</v>
      </c>
      <c r="E443" s="209" t="s">
        <v>505</v>
      </c>
      <c r="F443" s="196" t="s">
        <v>219</v>
      </c>
      <c r="G443" s="196" t="s">
        <v>292</v>
      </c>
      <c r="H443">
        <f t="shared" si="199"/>
        <v>16</v>
      </c>
    </row>
    <row r="444" spans="1:8" x14ac:dyDescent="0.35">
      <c r="A444" s="196"/>
      <c r="B444" s="196"/>
      <c r="C444" s="222" t="str">
        <f t="shared" si="194"/>
        <v>400</v>
      </c>
      <c r="D444" s="196" t="s">
        <v>416</v>
      </c>
      <c r="E444" s="209" t="s">
        <v>506</v>
      </c>
      <c r="F444" s="196" t="s">
        <v>219</v>
      </c>
      <c r="G444" s="196" t="s">
        <v>292</v>
      </c>
      <c r="H444">
        <f t="shared" si="199"/>
        <v>14</v>
      </c>
    </row>
    <row r="445" spans="1:8" x14ac:dyDescent="0.35">
      <c r="A445" s="196"/>
      <c r="B445" s="196"/>
      <c r="C445" s="222" t="str">
        <f t="shared" si="194"/>
        <v>400</v>
      </c>
      <c r="D445" s="196" t="s">
        <v>450</v>
      </c>
      <c r="E445" s="209" t="s">
        <v>602</v>
      </c>
      <c r="F445" s="196" t="s">
        <v>219</v>
      </c>
      <c r="G445" s="196" t="s">
        <v>292</v>
      </c>
      <c r="H445">
        <f t="shared" si="199"/>
        <v>13</v>
      </c>
    </row>
    <row r="446" spans="1:8" x14ac:dyDescent="0.35">
      <c r="A446" s="196"/>
      <c r="B446" s="196"/>
      <c r="C446" s="222" t="str">
        <f t="shared" si="194"/>
        <v>400</v>
      </c>
      <c r="D446" s="196" t="s">
        <v>451</v>
      </c>
      <c r="E446" s="209" t="s">
        <v>507</v>
      </c>
      <c r="F446" s="196" t="s">
        <v>219</v>
      </c>
      <c r="G446" s="196" t="s">
        <v>292</v>
      </c>
      <c r="H446">
        <f t="shared" si="199"/>
        <v>13</v>
      </c>
    </row>
    <row r="447" spans="1:8" x14ac:dyDescent="0.35">
      <c r="A447" s="196"/>
      <c r="B447" s="196"/>
      <c r="C447" s="222" t="str">
        <f t="shared" si="194"/>
        <v>400</v>
      </c>
      <c r="D447" s="196" t="s">
        <v>222</v>
      </c>
      <c r="E447" s="205" t="s">
        <v>726</v>
      </c>
      <c r="F447" s="196" t="s">
        <v>219</v>
      </c>
      <c r="G447" s="196" t="s">
        <v>217</v>
      </c>
    </row>
    <row r="448" spans="1:8" x14ac:dyDescent="0.35">
      <c r="A448" s="196"/>
      <c r="B448" s="196"/>
      <c r="C448" s="222" t="str">
        <f t="shared" si="194"/>
        <v>400</v>
      </c>
      <c r="D448" s="196" t="s">
        <v>303</v>
      </c>
      <c r="E448" s="209" t="s">
        <v>455</v>
      </c>
      <c r="F448" s="196" t="s">
        <v>247</v>
      </c>
      <c r="G448" s="196" t="s">
        <v>292</v>
      </c>
      <c r="H448">
        <f t="shared" ref="H448:H460" si="200">LEN(E448)</f>
        <v>13</v>
      </c>
    </row>
    <row r="449" spans="1:12" x14ac:dyDescent="0.35">
      <c r="A449" s="196"/>
      <c r="B449" s="196"/>
      <c r="C449" s="222" t="str">
        <f t="shared" si="194"/>
        <v>400</v>
      </c>
      <c r="D449" s="196" t="s">
        <v>304</v>
      </c>
      <c r="E449" s="209" t="s">
        <v>499</v>
      </c>
      <c r="F449" s="196" t="s">
        <v>219</v>
      </c>
      <c r="G449" s="196" t="s">
        <v>292</v>
      </c>
      <c r="H449">
        <f t="shared" si="200"/>
        <v>22</v>
      </c>
    </row>
    <row r="450" spans="1:12" x14ac:dyDescent="0.35">
      <c r="A450" s="196"/>
      <c r="B450" s="196"/>
      <c r="C450" s="222" t="str">
        <f t="shared" si="194"/>
        <v>400</v>
      </c>
      <c r="D450" s="196" t="s">
        <v>305</v>
      </c>
      <c r="E450" s="209" t="s">
        <v>500</v>
      </c>
      <c r="F450" s="196" t="s">
        <v>219</v>
      </c>
      <c r="G450" s="196" t="s">
        <v>292</v>
      </c>
      <c r="H450">
        <f t="shared" si="200"/>
        <v>10</v>
      </c>
    </row>
    <row r="451" spans="1:12" x14ac:dyDescent="0.35">
      <c r="A451" s="196"/>
      <c r="B451" s="196"/>
      <c r="C451" s="222" t="str">
        <f t="shared" si="194"/>
        <v>400</v>
      </c>
      <c r="D451" s="196" t="s">
        <v>306</v>
      </c>
      <c r="E451" s="209" t="s">
        <v>601</v>
      </c>
      <c r="F451" s="196" t="s">
        <v>219</v>
      </c>
      <c r="G451" s="196" t="s">
        <v>292</v>
      </c>
      <c r="H451">
        <f t="shared" si="200"/>
        <v>25</v>
      </c>
    </row>
    <row r="452" spans="1:12" x14ac:dyDescent="0.35">
      <c r="A452" s="196"/>
      <c r="B452" s="196"/>
      <c r="C452" s="222" t="str">
        <f t="shared" si="194"/>
        <v>400</v>
      </c>
      <c r="D452" s="196" t="s">
        <v>307</v>
      </c>
      <c r="E452" s="209" t="s">
        <v>456</v>
      </c>
      <c r="F452" s="196" t="s">
        <v>219</v>
      </c>
      <c r="G452" s="196" t="s">
        <v>292</v>
      </c>
      <c r="H452">
        <f t="shared" si="200"/>
        <v>13</v>
      </c>
    </row>
    <row r="453" spans="1:12" x14ac:dyDescent="0.35">
      <c r="A453" s="196"/>
      <c r="B453" s="196"/>
      <c r="C453" s="222" t="str">
        <f t="shared" ref="C453:C503" si="201">IF(B453="",C452,B453)</f>
        <v>400</v>
      </c>
      <c r="D453" s="196" t="s">
        <v>308</v>
      </c>
      <c r="E453" s="209" t="s">
        <v>501</v>
      </c>
      <c r="F453" s="196" t="s">
        <v>219</v>
      </c>
      <c r="G453" s="196" t="s">
        <v>292</v>
      </c>
      <c r="H453">
        <f t="shared" si="200"/>
        <v>14</v>
      </c>
    </row>
    <row r="454" spans="1:12" x14ac:dyDescent="0.35">
      <c r="A454" s="196"/>
      <c r="B454" s="196"/>
      <c r="C454" s="222" t="str">
        <f t="shared" si="201"/>
        <v>400</v>
      </c>
      <c r="D454" s="196" t="s">
        <v>309</v>
      </c>
      <c r="E454" s="209" t="s">
        <v>502</v>
      </c>
      <c r="F454" s="196" t="s">
        <v>219</v>
      </c>
      <c r="G454" s="196" t="s">
        <v>292</v>
      </c>
      <c r="H454">
        <f t="shared" si="200"/>
        <v>16</v>
      </c>
    </row>
    <row r="455" spans="1:12" x14ac:dyDescent="0.35">
      <c r="A455" s="196"/>
      <c r="B455" s="196"/>
      <c r="C455" s="222" t="str">
        <f t="shared" si="201"/>
        <v>400</v>
      </c>
      <c r="D455" s="196" t="s">
        <v>310</v>
      </c>
      <c r="E455" s="209" t="s">
        <v>503</v>
      </c>
      <c r="F455" s="196" t="s">
        <v>219</v>
      </c>
      <c r="G455" s="196" t="s">
        <v>292</v>
      </c>
      <c r="H455">
        <f t="shared" si="200"/>
        <v>16</v>
      </c>
    </row>
    <row r="456" spans="1:12" x14ac:dyDescent="0.35">
      <c r="A456" s="196"/>
      <c r="B456" s="196"/>
      <c r="C456" s="222" t="str">
        <f t="shared" si="201"/>
        <v>400</v>
      </c>
      <c r="D456" s="196" t="s">
        <v>311</v>
      </c>
      <c r="E456" s="209" t="s">
        <v>504</v>
      </c>
      <c r="F456" s="196" t="s">
        <v>219</v>
      </c>
      <c r="G456" s="196" t="s">
        <v>292</v>
      </c>
      <c r="H456">
        <f t="shared" si="200"/>
        <v>14</v>
      </c>
    </row>
    <row r="457" spans="1:12" x14ac:dyDescent="0.35">
      <c r="A457" s="196"/>
      <c r="B457" s="196"/>
      <c r="C457" s="222" t="str">
        <f t="shared" si="201"/>
        <v>400</v>
      </c>
      <c r="D457" s="196" t="s">
        <v>312</v>
      </c>
      <c r="E457" s="209" t="s">
        <v>505</v>
      </c>
      <c r="F457" s="196" t="s">
        <v>219</v>
      </c>
      <c r="G457" s="196" t="s">
        <v>292</v>
      </c>
      <c r="H457">
        <f t="shared" si="200"/>
        <v>16</v>
      </c>
    </row>
    <row r="458" spans="1:12" x14ac:dyDescent="0.35">
      <c r="A458" s="196"/>
      <c r="B458" s="196"/>
      <c r="C458" s="222" t="str">
        <f t="shared" si="201"/>
        <v>400</v>
      </c>
      <c r="D458" s="196" t="s">
        <v>313</v>
      </c>
      <c r="E458" s="209" t="s">
        <v>506</v>
      </c>
      <c r="F458" s="196" t="s">
        <v>219</v>
      </c>
      <c r="G458" s="196" t="s">
        <v>292</v>
      </c>
      <c r="H458">
        <f t="shared" si="200"/>
        <v>14</v>
      </c>
    </row>
    <row r="459" spans="1:12" x14ac:dyDescent="0.35">
      <c r="A459" s="196"/>
      <c r="B459" s="196"/>
      <c r="C459" s="222" t="str">
        <f t="shared" si="201"/>
        <v>400</v>
      </c>
      <c r="D459" s="196" t="s">
        <v>452</v>
      </c>
      <c r="E459" s="209" t="s">
        <v>602</v>
      </c>
      <c r="F459" s="196" t="s">
        <v>219</v>
      </c>
      <c r="G459" s="196" t="s">
        <v>292</v>
      </c>
      <c r="H459">
        <f t="shared" si="200"/>
        <v>13</v>
      </c>
    </row>
    <row r="460" spans="1:12" x14ac:dyDescent="0.35">
      <c r="A460" s="196"/>
      <c r="B460" s="196"/>
      <c r="C460" s="222" t="str">
        <f t="shared" si="201"/>
        <v>400</v>
      </c>
      <c r="D460" s="196" t="s">
        <v>453</v>
      </c>
      <c r="E460" s="209" t="s">
        <v>507</v>
      </c>
      <c r="F460" s="196" t="s">
        <v>219</v>
      </c>
      <c r="G460" s="196" t="s">
        <v>292</v>
      </c>
      <c r="H460">
        <f t="shared" si="200"/>
        <v>13</v>
      </c>
      <c r="L460" s="236"/>
    </row>
    <row r="461" spans="1:12" x14ac:dyDescent="0.35">
      <c r="A461" s="196"/>
      <c r="B461" s="196"/>
      <c r="C461" s="222" t="str">
        <f t="shared" ref="C461" si="202">IF(B461="",C460,B461)</f>
        <v>400</v>
      </c>
      <c r="D461" s="196" t="s">
        <v>860</v>
      </c>
      <c r="E461" s="209" t="s">
        <v>862</v>
      </c>
      <c r="F461" s="196" t="s">
        <v>219</v>
      </c>
      <c r="G461" s="196" t="s">
        <v>292</v>
      </c>
      <c r="H461">
        <f t="shared" ref="H461" si="203">LEN(E461)</f>
        <v>13</v>
      </c>
      <c r="L461" s="236"/>
    </row>
    <row r="462" spans="1:12" x14ac:dyDescent="0.35">
      <c r="A462" s="196"/>
      <c r="B462" s="196"/>
      <c r="C462" s="223" t="str">
        <f t="shared" ref="C462:C463" si="204">IF(B462="",C461,B462)</f>
        <v>400</v>
      </c>
      <c r="D462" s="224" t="s">
        <v>948</v>
      </c>
      <c r="E462" s="227" t="s">
        <v>1129</v>
      </c>
      <c r="F462" s="224" t="s">
        <v>219</v>
      </c>
      <c r="G462" s="224" t="s">
        <v>292</v>
      </c>
      <c r="H462" s="16">
        <f t="shared" ref="H462:H463" si="205">LEN(E462)</f>
        <v>13</v>
      </c>
      <c r="L462" s="236"/>
    </row>
    <row r="463" spans="1:12" x14ac:dyDescent="0.35">
      <c r="A463" s="196"/>
      <c r="B463" s="196"/>
      <c r="C463" s="223" t="str">
        <f t="shared" si="204"/>
        <v>400</v>
      </c>
      <c r="D463" s="224" t="s">
        <v>949</v>
      </c>
      <c r="E463" s="227" t="s">
        <v>1130</v>
      </c>
      <c r="F463" s="224" t="s">
        <v>219</v>
      </c>
      <c r="G463" s="224" t="s">
        <v>292</v>
      </c>
      <c r="H463" s="16">
        <f t="shared" si="205"/>
        <v>12</v>
      </c>
      <c r="L463" s="236"/>
    </row>
    <row r="464" spans="1:12" x14ac:dyDescent="0.35">
      <c r="A464" s="196"/>
      <c r="B464" s="196"/>
      <c r="C464" s="222" t="str">
        <f>IF(B464="",C460,B464)</f>
        <v>400</v>
      </c>
      <c r="D464" s="196" t="s">
        <v>223</v>
      </c>
      <c r="E464" s="205" t="s">
        <v>798</v>
      </c>
      <c r="F464" s="196" t="s">
        <v>219</v>
      </c>
      <c r="G464" s="196" t="s">
        <v>217</v>
      </c>
    </row>
    <row r="465" spans="1:12" x14ac:dyDescent="0.35">
      <c r="A465" s="196"/>
      <c r="B465" s="196"/>
      <c r="C465" s="222" t="str">
        <f t="shared" si="201"/>
        <v>400</v>
      </c>
      <c r="D465" s="196" t="s">
        <v>362</v>
      </c>
      <c r="E465" s="209" t="s">
        <v>455</v>
      </c>
      <c r="F465" s="196" t="s">
        <v>247</v>
      </c>
      <c r="G465" s="196" t="s">
        <v>292</v>
      </c>
      <c r="H465">
        <f t="shared" ref="H465:H477" si="206">LEN(E465)</f>
        <v>13</v>
      </c>
    </row>
    <row r="466" spans="1:12" x14ac:dyDescent="0.35">
      <c r="A466" s="196"/>
      <c r="B466" s="196"/>
      <c r="C466" s="222" t="str">
        <f t="shared" si="201"/>
        <v>400</v>
      </c>
      <c r="D466" s="196" t="s">
        <v>363</v>
      </c>
      <c r="E466" s="209" t="s">
        <v>499</v>
      </c>
      <c r="F466" s="196" t="s">
        <v>219</v>
      </c>
      <c r="G466" s="196" t="s">
        <v>292</v>
      </c>
      <c r="H466">
        <f t="shared" si="206"/>
        <v>22</v>
      </c>
      <c r="L466" s="237"/>
    </row>
    <row r="467" spans="1:12" x14ac:dyDescent="0.35">
      <c r="A467" s="196"/>
      <c r="B467" s="196"/>
      <c r="C467" s="222" t="str">
        <f t="shared" si="201"/>
        <v>400</v>
      </c>
      <c r="D467" s="196" t="s">
        <v>364</v>
      </c>
      <c r="E467" s="209" t="s">
        <v>500</v>
      </c>
      <c r="F467" s="196" t="s">
        <v>219</v>
      </c>
      <c r="G467" s="196" t="s">
        <v>292</v>
      </c>
      <c r="H467">
        <f t="shared" si="206"/>
        <v>10</v>
      </c>
    </row>
    <row r="468" spans="1:12" x14ac:dyDescent="0.35">
      <c r="A468" s="196"/>
      <c r="B468" s="196"/>
      <c r="C468" s="222" t="str">
        <f t="shared" si="201"/>
        <v>400</v>
      </c>
      <c r="D468" s="196" t="s">
        <v>365</v>
      </c>
      <c r="E468" s="209" t="s">
        <v>601</v>
      </c>
      <c r="F468" s="196" t="s">
        <v>219</v>
      </c>
      <c r="G468" s="196" t="s">
        <v>292</v>
      </c>
      <c r="H468">
        <f t="shared" si="206"/>
        <v>25</v>
      </c>
    </row>
    <row r="469" spans="1:12" x14ac:dyDescent="0.35">
      <c r="A469" s="196"/>
      <c r="B469" s="196"/>
      <c r="C469" s="222" t="str">
        <f t="shared" si="201"/>
        <v>400</v>
      </c>
      <c r="D469" s="196" t="s">
        <v>420</v>
      </c>
      <c r="E469" s="209" t="s">
        <v>456</v>
      </c>
      <c r="F469" s="196" t="s">
        <v>219</v>
      </c>
      <c r="G469" s="196" t="s">
        <v>292</v>
      </c>
      <c r="H469">
        <f t="shared" si="206"/>
        <v>13</v>
      </c>
    </row>
    <row r="470" spans="1:12" x14ac:dyDescent="0.35">
      <c r="A470" s="196"/>
      <c r="B470" s="196"/>
      <c r="C470" s="222" t="str">
        <f t="shared" si="201"/>
        <v>400</v>
      </c>
      <c r="D470" s="196" t="s">
        <v>467</v>
      </c>
      <c r="E470" s="209" t="s">
        <v>501</v>
      </c>
      <c r="F470" s="196" t="s">
        <v>219</v>
      </c>
      <c r="G470" s="196" t="s">
        <v>292</v>
      </c>
      <c r="H470">
        <f t="shared" si="206"/>
        <v>14</v>
      </c>
    </row>
    <row r="471" spans="1:12" x14ac:dyDescent="0.35">
      <c r="A471" s="196"/>
      <c r="B471" s="196"/>
      <c r="C471" s="222" t="str">
        <f t="shared" si="201"/>
        <v>400</v>
      </c>
      <c r="D471" s="196" t="s">
        <v>468</v>
      </c>
      <c r="E471" s="209" t="s">
        <v>502</v>
      </c>
      <c r="F471" s="196" t="s">
        <v>219</v>
      </c>
      <c r="G471" s="196" t="s">
        <v>292</v>
      </c>
      <c r="H471">
        <f t="shared" si="206"/>
        <v>16</v>
      </c>
    </row>
    <row r="472" spans="1:12" x14ac:dyDescent="0.35">
      <c r="A472" s="196"/>
      <c r="B472" s="196"/>
      <c r="C472" s="222" t="str">
        <f t="shared" si="201"/>
        <v>400</v>
      </c>
      <c r="D472" s="196" t="s">
        <v>469</v>
      </c>
      <c r="E472" s="209" t="s">
        <v>503</v>
      </c>
      <c r="F472" s="196" t="s">
        <v>219</v>
      </c>
      <c r="G472" s="196" t="s">
        <v>292</v>
      </c>
      <c r="H472">
        <f t="shared" si="206"/>
        <v>16</v>
      </c>
    </row>
    <row r="473" spans="1:12" x14ac:dyDescent="0.35">
      <c r="A473" s="196"/>
      <c r="B473" s="196"/>
      <c r="C473" s="222" t="str">
        <f t="shared" si="201"/>
        <v>400</v>
      </c>
      <c r="D473" s="196" t="s">
        <v>470</v>
      </c>
      <c r="E473" s="209" t="s">
        <v>504</v>
      </c>
      <c r="F473" s="196" t="s">
        <v>219</v>
      </c>
      <c r="G473" s="196" t="s">
        <v>292</v>
      </c>
      <c r="H473">
        <f t="shared" si="206"/>
        <v>14</v>
      </c>
    </row>
    <row r="474" spans="1:12" x14ac:dyDescent="0.35">
      <c r="A474" s="196"/>
      <c r="B474" s="196"/>
      <c r="C474" s="222" t="str">
        <f t="shared" si="201"/>
        <v>400</v>
      </c>
      <c r="D474" s="196" t="s">
        <v>716</v>
      </c>
      <c r="E474" s="209" t="s">
        <v>505</v>
      </c>
      <c r="F474" s="196" t="s">
        <v>219</v>
      </c>
      <c r="G474" s="196" t="s">
        <v>292</v>
      </c>
      <c r="H474">
        <f t="shared" si="206"/>
        <v>16</v>
      </c>
    </row>
    <row r="475" spans="1:12" x14ac:dyDescent="0.35">
      <c r="A475" s="196"/>
      <c r="B475" s="196"/>
      <c r="C475" s="222" t="str">
        <f t="shared" si="201"/>
        <v>400</v>
      </c>
      <c r="D475" s="196" t="s">
        <v>717</v>
      </c>
      <c r="E475" s="209" t="s">
        <v>506</v>
      </c>
      <c r="F475" s="196" t="s">
        <v>219</v>
      </c>
      <c r="G475" s="196" t="s">
        <v>292</v>
      </c>
      <c r="H475">
        <f t="shared" si="206"/>
        <v>14</v>
      </c>
    </row>
    <row r="476" spans="1:12" x14ac:dyDescent="0.35">
      <c r="A476" s="196"/>
      <c r="B476" s="196"/>
      <c r="C476" s="222" t="str">
        <f t="shared" si="201"/>
        <v>400</v>
      </c>
      <c r="D476" s="196" t="s">
        <v>718</v>
      </c>
      <c r="E476" s="209" t="s">
        <v>602</v>
      </c>
      <c r="F476" s="196" t="s">
        <v>219</v>
      </c>
      <c r="G476" s="196" t="s">
        <v>292</v>
      </c>
      <c r="H476">
        <f t="shared" si="206"/>
        <v>13</v>
      </c>
    </row>
    <row r="477" spans="1:12" x14ac:dyDescent="0.35">
      <c r="A477" s="196"/>
      <c r="B477" s="196"/>
      <c r="C477" s="222" t="str">
        <f t="shared" si="201"/>
        <v>400</v>
      </c>
      <c r="D477" s="196" t="s">
        <v>719</v>
      </c>
      <c r="E477" s="209" t="s">
        <v>507</v>
      </c>
      <c r="F477" s="196" t="s">
        <v>219</v>
      </c>
      <c r="G477" s="196" t="s">
        <v>292</v>
      </c>
      <c r="H477">
        <f t="shared" si="206"/>
        <v>13</v>
      </c>
    </row>
    <row r="478" spans="1:12" x14ac:dyDescent="0.35">
      <c r="A478" s="196"/>
      <c r="B478" s="196"/>
      <c r="C478" s="222" t="str">
        <f t="shared" ref="C478" si="207">IF(B478="",C477,B478)</f>
        <v>400</v>
      </c>
      <c r="D478" s="196" t="s">
        <v>866</v>
      </c>
      <c r="E478" s="209" t="s">
        <v>862</v>
      </c>
      <c r="F478" s="196" t="s">
        <v>219</v>
      </c>
      <c r="G478" s="196" t="s">
        <v>292</v>
      </c>
      <c r="H478">
        <f t="shared" ref="H478" si="208">LEN(E478)</f>
        <v>13</v>
      </c>
    </row>
    <row r="479" spans="1:12" x14ac:dyDescent="0.35">
      <c r="A479" s="196"/>
      <c r="B479" s="196"/>
      <c r="C479" s="223" t="str">
        <f>IF(B479="",C477,B479)</f>
        <v>400</v>
      </c>
      <c r="D479" s="224" t="s">
        <v>224</v>
      </c>
      <c r="E479" s="253" t="s">
        <v>892</v>
      </c>
      <c r="F479" s="224" t="s">
        <v>219</v>
      </c>
      <c r="G479" s="224" t="s">
        <v>217</v>
      </c>
      <c r="H479" s="16"/>
    </row>
    <row r="480" spans="1:12" x14ac:dyDescent="0.35">
      <c r="A480" s="196"/>
      <c r="B480" s="196"/>
      <c r="C480" s="223" t="str">
        <f t="shared" ref="C480:C493" si="209">IF(B480="",C479,B480)</f>
        <v>400</v>
      </c>
      <c r="D480" s="224" t="s">
        <v>367</v>
      </c>
      <c r="E480" s="227" t="s">
        <v>455</v>
      </c>
      <c r="F480" s="224" t="s">
        <v>247</v>
      </c>
      <c r="G480" s="224" t="s">
        <v>292</v>
      </c>
      <c r="H480" s="16">
        <f t="shared" ref="H480:H493" si="210">LEN(E480)</f>
        <v>13</v>
      </c>
    </row>
    <row r="481" spans="1:12" x14ac:dyDescent="0.35">
      <c r="A481" s="196"/>
      <c r="B481" s="196"/>
      <c r="C481" s="223" t="str">
        <f t="shared" si="209"/>
        <v>400</v>
      </c>
      <c r="D481" s="224" t="s">
        <v>371</v>
      </c>
      <c r="E481" s="227" t="s">
        <v>499</v>
      </c>
      <c r="F481" s="224" t="s">
        <v>219</v>
      </c>
      <c r="G481" s="224" t="s">
        <v>292</v>
      </c>
      <c r="H481" s="16">
        <f t="shared" si="210"/>
        <v>22</v>
      </c>
      <c r="L481" s="237"/>
    </row>
    <row r="482" spans="1:12" x14ac:dyDescent="0.35">
      <c r="A482" s="196"/>
      <c r="B482" s="196"/>
      <c r="C482" s="223" t="str">
        <f t="shared" si="209"/>
        <v>400</v>
      </c>
      <c r="D482" s="224" t="s">
        <v>421</v>
      </c>
      <c r="E482" s="227" t="s">
        <v>500</v>
      </c>
      <c r="F482" s="224" t="s">
        <v>219</v>
      </c>
      <c r="G482" s="224" t="s">
        <v>292</v>
      </c>
      <c r="H482" s="16">
        <f t="shared" si="210"/>
        <v>10</v>
      </c>
    </row>
    <row r="483" spans="1:12" x14ac:dyDescent="0.35">
      <c r="A483" s="196"/>
      <c r="B483" s="196"/>
      <c r="C483" s="223" t="str">
        <f t="shared" si="209"/>
        <v>400</v>
      </c>
      <c r="D483" s="224" t="s">
        <v>422</v>
      </c>
      <c r="E483" s="227" t="s">
        <v>601</v>
      </c>
      <c r="F483" s="224" t="s">
        <v>219</v>
      </c>
      <c r="G483" s="224" t="s">
        <v>292</v>
      </c>
      <c r="H483" s="16">
        <f t="shared" si="210"/>
        <v>25</v>
      </c>
    </row>
    <row r="484" spans="1:12" x14ac:dyDescent="0.35">
      <c r="A484" s="196"/>
      <c r="B484" s="196"/>
      <c r="C484" s="223" t="str">
        <f t="shared" si="209"/>
        <v>400</v>
      </c>
      <c r="D484" s="224" t="s">
        <v>423</v>
      </c>
      <c r="E484" s="227" t="s">
        <v>456</v>
      </c>
      <c r="F484" s="224" t="s">
        <v>219</v>
      </c>
      <c r="G484" s="224" t="s">
        <v>292</v>
      </c>
      <c r="H484" s="16">
        <f t="shared" si="210"/>
        <v>13</v>
      </c>
    </row>
    <row r="485" spans="1:12" x14ac:dyDescent="0.35">
      <c r="A485" s="196"/>
      <c r="B485" s="196"/>
      <c r="C485" s="223" t="str">
        <f t="shared" si="209"/>
        <v>400</v>
      </c>
      <c r="D485" s="224" t="s">
        <v>471</v>
      </c>
      <c r="E485" s="227" t="s">
        <v>501</v>
      </c>
      <c r="F485" s="224" t="s">
        <v>219</v>
      </c>
      <c r="G485" s="224" t="s">
        <v>292</v>
      </c>
      <c r="H485" s="16">
        <f t="shared" si="210"/>
        <v>14</v>
      </c>
    </row>
    <row r="486" spans="1:12" x14ac:dyDescent="0.35">
      <c r="A486" s="196"/>
      <c r="B486" s="196"/>
      <c r="C486" s="223" t="str">
        <f t="shared" si="209"/>
        <v>400</v>
      </c>
      <c r="D486" s="224" t="s">
        <v>472</v>
      </c>
      <c r="E486" s="227" t="s">
        <v>502</v>
      </c>
      <c r="F486" s="224" t="s">
        <v>219</v>
      </c>
      <c r="G486" s="224" t="s">
        <v>292</v>
      </c>
      <c r="H486" s="16">
        <f t="shared" si="210"/>
        <v>16</v>
      </c>
    </row>
    <row r="487" spans="1:12" x14ac:dyDescent="0.35">
      <c r="A487" s="196"/>
      <c r="B487" s="196"/>
      <c r="C487" s="223" t="str">
        <f t="shared" si="209"/>
        <v>400</v>
      </c>
      <c r="D487" s="224" t="s">
        <v>473</v>
      </c>
      <c r="E487" s="227" t="s">
        <v>503</v>
      </c>
      <c r="F487" s="224" t="s">
        <v>219</v>
      </c>
      <c r="G487" s="224" t="s">
        <v>292</v>
      </c>
      <c r="H487" s="16">
        <f t="shared" si="210"/>
        <v>16</v>
      </c>
    </row>
    <row r="488" spans="1:12" x14ac:dyDescent="0.35">
      <c r="A488" s="196"/>
      <c r="B488" s="196"/>
      <c r="C488" s="223" t="str">
        <f t="shared" si="209"/>
        <v>400</v>
      </c>
      <c r="D488" s="224" t="s">
        <v>474</v>
      </c>
      <c r="E488" s="227" t="s">
        <v>504</v>
      </c>
      <c r="F488" s="224" t="s">
        <v>219</v>
      </c>
      <c r="G488" s="224" t="s">
        <v>292</v>
      </c>
      <c r="H488" s="16">
        <f t="shared" si="210"/>
        <v>14</v>
      </c>
    </row>
    <row r="489" spans="1:12" x14ac:dyDescent="0.35">
      <c r="A489" s="196"/>
      <c r="B489" s="196"/>
      <c r="C489" s="223" t="str">
        <f t="shared" si="209"/>
        <v>400</v>
      </c>
      <c r="D489" s="224" t="s">
        <v>720</v>
      </c>
      <c r="E489" s="227" t="s">
        <v>505</v>
      </c>
      <c r="F489" s="224" t="s">
        <v>219</v>
      </c>
      <c r="G489" s="224" t="s">
        <v>292</v>
      </c>
      <c r="H489" s="16">
        <f t="shared" si="210"/>
        <v>16</v>
      </c>
    </row>
    <row r="490" spans="1:12" x14ac:dyDescent="0.35">
      <c r="A490" s="196"/>
      <c r="B490" s="196"/>
      <c r="C490" s="223" t="str">
        <f t="shared" si="209"/>
        <v>400</v>
      </c>
      <c r="D490" s="224" t="s">
        <v>721</v>
      </c>
      <c r="E490" s="227" t="s">
        <v>506</v>
      </c>
      <c r="F490" s="224" t="s">
        <v>219</v>
      </c>
      <c r="G490" s="224" t="s">
        <v>292</v>
      </c>
      <c r="H490" s="16">
        <f t="shared" si="210"/>
        <v>14</v>
      </c>
    </row>
    <row r="491" spans="1:12" x14ac:dyDescent="0.35">
      <c r="A491" s="196"/>
      <c r="B491" s="196"/>
      <c r="C491" s="223" t="str">
        <f t="shared" si="209"/>
        <v>400</v>
      </c>
      <c r="D491" s="224" t="s">
        <v>722</v>
      </c>
      <c r="E491" s="227" t="s">
        <v>602</v>
      </c>
      <c r="F491" s="224" t="s">
        <v>219</v>
      </c>
      <c r="G491" s="224" t="s">
        <v>292</v>
      </c>
      <c r="H491" s="16">
        <f t="shared" si="210"/>
        <v>13</v>
      </c>
    </row>
    <row r="492" spans="1:12" x14ac:dyDescent="0.35">
      <c r="A492" s="196"/>
      <c r="B492" s="196"/>
      <c r="C492" s="223" t="str">
        <f t="shared" si="209"/>
        <v>400</v>
      </c>
      <c r="D492" s="224" t="s">
        <v>723</v>
      </c>
      <c r="E492" s="227" t="s">
        <v>507</v>
      </c>
      <c r="F492" s="224" t="s">
        <v>219</v>
      </c>
      <c r="G492" s="224" t="s">
        <v>292</v>
      </c>
      <c r="H492" s="16">
        <f t="shared" si="210"/>
        <v>13</v>
      </c>
    </row>
    <row r="493" spans="1:12" x14ac:dyDescent="0.35">
      <c r="A493" s="196"/>
      <c r="B493" s="196"/>
      <c r="C493" s="223" t="str">
        <f t="shared" si="209"/>
        <v>400</v>
      </c>
      <c r="D493" s="224" t="s">
        <v>867</v>
      </c>
      <c r="E493" s="227" t="s">
        <v>862</v>
      </c>
      <c r="F493" s="224" t="s">
        <v>219</v>
      </c>
      <c r="G493" s="224" t="s">
        <v>292</v>
      </c>
      <c r="H493" s="16">
        <f t="shared" si="210"/>
        <v>13</v>
      </c>
    </row>
    <row r="494" spans="1:12" x14ac:dyDescent="0.35">
      <c r="A494" s="196"/>
      <c r="B494" s="196"/>
      <c r="C494" s="222" t="str">
        <f>IF(B494="",C477,B494)</f>
        <v>400</v>
      </c>
      <c r="D494" s="196" t="s">
        <v>286</v>
      </c>
      <c r="E494" s="209" t="s">
        <v>508</v>
      </c>
      <c r="F494" s="196" t="s">
        <v>219</v>
      </c>
      <c r="G494" s="196" t="s">
        <v>164</v>
      </c>
      <c r="H494">
        <f t="shared" si="170"/>
        <v>16</v>
      </c>
    </row>
    <row r="495" spans="1:12" s="197" customFormat="1" x14ac:dyDescent="0.35">
      <c r="A495" s="196" t="s">
        <v>213</v>
      </c>
      <c r="B495" s="196" t="s">
        <v>411</v>
      </c>
      <c r="C495" s="222" t="str">
        <f t="shared" si="201"/>
        <v>450</v>
      </c>
      <c r="D495" s="196"/>
      <c r="E495" s="205" t="s">
        <v>412</v>
      </c>
      <c r="F495" s="196" t="s">
        <v>216</v>
      </c>
      <c r="G495" s="196" t="s">
        <v>217</v>
      </c>
      <c r="H495">
        <f t="shared" si="170"/>
        <v>20</v>
      </c>
    </row>
    <row r="496" spans="1:12" x14ac:dyDescent="0.35">
      <c r="A496" s="196"/>
      <c r="B496" s="196"/>
      <c r="C496" s="222" t="str">
        <f t="shared" si="201"/>
        <v>450</v>
      </c>
      <c r="D496" s="196" t="s">
        <v>218</v>
      </c>
      <c r="E496" s="208" t="s">
        <v>728</v>
      </c>
      <c r="F496" s="196" t="s">
        <v>219</v>
      </c>
      <c r="G496" s="196" t="s">
        <v>217</v>
      </c>
      <c r="H496">
        <f t="shared" si="170"/>
        <v>24</v>
      </c>
    </row>
    <row r="497" spans="1:8" x14ac:dyDescent="0.35">
      <c r="A497" s="196"/>
      <c r="B497" s="196"/>
      <c r="C497" s="222" t="str">
        <f t="shared" si="201"/>
        <v>450</v>
      </c>
      <c r="D497" s="196" t="s">
        <v>53</v>
      </c>
      <c r="E497" s="213" t="s">
        <v>509</v>
      </c>
      <c r="F497" s="196" t="s">
        <v>247</v>
      </c>
      <c r="G497" s="196" t="s">
        <v>292</v>
      </c>
      <c r="H497">
        <f t="shared" si="170"/>
        <v>18</v>
      </c>
    </row>
    <row r="498" spans="1:8" x14ac:dyDescent="0.35">
      <c r="A498" s="196"/>
      <c r="B498" s="196"/>
      <c r="C498" s="222" t="str">
        <f t="shared" si="201"/>
        <v>450</v>
      </c>
      <c r="D498" s="196" t="s">
        <v>55</v>
      </c>
      <c r="E498" s="213" t="s">
        <v>510</v>
      </c>
      <c r="F498" s="196" t="s">
        <v>247</v>
      </c>
      <c r="G498" s="196" t="s">
        <v>292</v>
      </c>
      <c r="H498">
        <f t="shared" si="170"/>
        <v>27</v>
      </c>
    </row>
    <row r="499" spans="1:8" x14ac:dyDescent="0.35">
      <c r="A499" s="196"/>
      <c r="B499" s="196"/>
      <c r="C499" s="222" t="str">
        <f t="shared" si="201"/>
        <v>450</v>
      </c>
      <c r="D499" s="196" t="s">
        <v>57</v>
      </c>
      <c r="E499" s="213" t="s">
        <v>511</v>
      </c>
      <c r="F499" s="196" t="s">
        <v>247</v>
      </c>
      <c r="G499" s="196" t="s">
        <v>292</v>
      </c>
      <c r="H499">
        <f t="shared" si="170"/>
        <v>15</v>
      </c>
    </row>
    <row r="500" spans="1:8" x14ac:dyDescent="0.35">
      <c r="A500" s="196"/>
      <c r="B500" s="196"/>
      <c r="C500" s="222" t="str">
        <f t="shared" si="201"/>
        <v>450</v>
      </c>
      <c r="D500" s="196" t="s">
        <v>59</v>
      </c>
      <c r="E500" s="213" t="s">
        <v>603</v>
      </c>
      <c r="F500" s="196" t="s">
        <v>247</v>
      </c>
      <c r="G500" s="196" t="s">
        <v>292</v>
      </c>
      <c r="H500">
        <f t="shared" si="170"/>
        <v>30</v>
      </c>
    </row>
    <row r="501" spans="1:8" x14ac:dyDescent="0.35">
      <c r="A501" s="196"/>
      <c r="B501" s="196"/>
      <c r="C501" s="222" t="str">
        <f t="shared" si="201"/>
        <v>450</v>
      </c>
      <c r="D501" s="196" t="s">
        <v>229</v>
      </c>
      <c r="E501" s="213" t="s">
        <v>512</v>
      </c>
      <c r="F501" s="196" t="s">
        <v>247</v>
      </c>
      <c r="G501" s="196" t="s">
        <v>292</v>
      </c>
      <c r="H501">
        <f t="shared" si="170"/>
        <v>18</v>
      </c>
    </row>
    <row r="502" spans="1:8" x14ac:dyDescent="0.35">
      <c r="A502" s="196"/>
      <c r="B502" s="196"/>
      <c r="C502" s="222" t="str">
        <f t="shared" si="201"/>
        <v>450</v>
      </c>
      <c r="D502" s="196" t="s">
        <v>230</v>
      </c>
      <c r="E502" s="213" t="s">
        <v>513</v>
      </c>
      <c r="F502" s="196" t="s">
        <v>247</v>
      </c>
      <c r="G502" s="196" t="s">
        <v>292</v>
      </c>
      <c r="H502">
        <f t="shared" si="170"/>
        <v>19</v>
      </c>
    </row>
    <row r="503" spans="1:8" x14ac:dyDescent="0.35">
      <c r="A503" s="196"/>
      <c r="B503" s="196"/>
      <c r="C503" s="222" t="str">
        <f t="shared" si="201"/>
        <v>450</v>
      </c>
      <c r="D503" s="196" t="s">
        <v>231</v>
      </c>
      <c r="E503" s="213" t="s">
        <v>514</v>
      </c>
      <c r="F503" s="196" t="s">
        <v>247</v>
      </c>
      <c r="G503" s="196" t="s">
        <v>292</v>
      </c>
      <c r="H503">
        <f t="shared" si="170"/>
        <v>21</v>
      </c>
    </row>
    <row r="504" spans="1:8" x14ac:dyDescent="0.35">
      <c r="A504" s="196"/>
      <c r="B504" s="196"/>
      <c r="C504" s="222" t="str">
        <f t="shared" ref="C504:C538" si="211">IF(B504="",C503,B504)</f>
        <v>450</v>
      </c>
      <c r="D504" s="196" t="s">
        <v>232</v>
      </c>
      <c r="E504" s="213" t="s">
        <v>515</v>
      </c>
      <c r="F504" s="196" t="s">
        <v>247</v>
      </c>
      <c r="G504" s="196" t="s">
        <v>292</v>
      </c>
      <c r="H504">
        <f t="shared" ref="H504:H755" si="212">LEN(E504)</f>
        <v>21</v>
      </c>
    </row>
    <row r="505" spans="1:8" x14ac:dyDescent="0.35">
      <c r="A505" s="196"/>
      <c r="B505" s="196"/>
      <c r="C505" s="222" t="str">
        <f t="shared" si="211"/>
        <v>450</v>
      </c>
      <c r="D505" s="196" t="s">
        <v>233</v>
      </c>
      <c r="E505" s="213" t="s">
        <v>516</v>
      </c>
      <c r="F505" s="196" t="s">
        <v>247</v>
      </c>
      <c r="G505" s="196" t="s">
        <v>292</v>
      </c>
      <c r="H505">
        <f t="shared" si="212"/>
        <v>19</v>
      </c>
    </row>
    <row r="506" spans="1:8" x14ac:dyDescent="0.35">
      <c r="A506" s="196"/>
      <c r="B506" s="196"/>
      <c r="C506" s="222" t="str">
        <f t="shared" si="211"/>
        <v>450</v>
      </c>
      <c r="D506" s="196" t="s">
        <v>234</v>
      </c>
      <c r="E506" s="213" t="s">
        <v>517</v>
      </c>
      <c r="F506" s="196" t="s">
        <v>247</v>
      </c>
      <c r="G506" s="196" t="s">
        <v>292</v>
      </c>
      <c r="H506">
        <f t="shared" si="212"/>
        <v>21</v>
      </c>
    </row>
    <row r="507" spans="1:8" x14ac:dyDescent="0.35">
      <c r="A507" s="196"/>
      <c r="B507" s="196"/>
      <c r="C507" s="222" t="str">
        <f t="shared" si="211"/>
        <v>450</v>
      </c>
      <c r="D507" s="196" t="s">
        <v>235</v>
      </c>
      <c r="E507" s="213" t="s">
        <v>518</v>
      </c>
      <c r="F507" s="196" t="s">
        <v>247</v>
      </c>
      <c r="G507" s="196" t="s">
        <v>292</v>
      </c>
      <c r="H507">
        <f t="shared" si="212"/>
        <v>20</v>
      </c>
    </row>
    <row r="508" spans="1:8" x14ac:dyDescent="0.35">
      <c r="A508" s="196"/>
      <c r="B508" s="196"/>
      <c r="C508" s="222" t="str">
        <f t="shared" si="211"/>
        <v>450</v>
      </c>
      <c r="D508" s="196" t="s">
        <v>236</v>
      </c>
      <c r="E508" s="213" t="s">
        <v>519</v>
      </c>
      <c r="F508" s="196" t="s">
        <v>247</v>
      </c>
      <c r="G508" s="196" t="s">
        <v>292</v>
      </c>
      <c r="H508">
        <f t="shared" si="212"/>
        <v>16</v>
      </c>
    </row>
    <row r="509" spans="1:8" s="197" customFormat="1" x14ac:dyDescent="0.35">
      <c r="A509" s="196"/>
      <c r="B509" s="196"/>
      <c r="C509" s="222" t="str">
        <f t="shared" si="211"/>
        <v>450</v>
      </c>
      <c r="D509" s="196" t="s">
        <v>237</v>
      </c>
      <c r="E509" s="213" t="s">
        <v>520</v>
      </c>
      <c r="F509" s="196" t="s">
        <v>247</v>
      </c>
      <c r="G509" s="196" t="s">
        <v>292</v>
      </c>
      <c r="H509">
        <f t="shared" si="212"/>
        <v>18</v>
      </c>
    </row>
    <row r="510" spans="1:8" s="197" customFormat="1" x14ac:dyDescent="0.35">
      <c r="A510" s="196"/>
      <c r="B510" s="196"/>
      <c r="C510" s="222" t="str">
        <f t="shared" ref="C510" si="213">IF(B510="",C509,B510)</f>
        <v>450</v>
      </c>
      <c r="D510" s="196" t="s">
        <v>238</v>
      </c>
      <c r="E510" s="213" t="s">
        <v>863</v>
      </c>
      <c r="F510" s="196" t="s">
        <v>247</v>
      </c>
      <c r="G510" s="196" t="s">
        <v>292</v>
      </c>
      <c r="H510">
        <f t="shared" ref="H510" si="214">LEN(E510)</f>
        <v>18</v>
      </c>
    </row>
    <row r="511" spans="1:8" s="197" customFormat="1" x14ac:dyDescent="0.35">
      <c r="A511" s="196"/>
      <c r="B511" s="196"/>
      <c r="C511" s="223" t="str">
        <f t="shared" ref="C511:C512" si="215">IF(B511="",C510,B511)</f>
        <v>450</v>
      </c>
      <c r="D511" s="224" t="s">
        <v>239</v>
      </c>
      <c r="E511" s="225" t="s">
        <v>1131</v>
      </c>
      <c r="F511" s="224" t="s">
        <v>247</v>
      </c>
      <c r="G511" s="224" t="s">
        <v>292</v>
      </c>
      <c r="H511" s="16">
        <f t="shared" ref="H511:H512" si="216">LEN(E511)</f>
        <v>18</v>
      </c>
    </row>
    <row r="512" spans="1:8" s="197" customFormat="1" x14ac:dyDescent="0.35">
      <c r="A512" s="196"/>
      <c r="B512" s="196"/>
      <c r="C512" s="223" t="str">
        <f t="shared" si="215"/>
        <v>450</v>
      </c>
      <c r="D512" s="224" t="s">
        <v>240</v>
      </c>
      <c r="E512" s="225" t="s">
        <v>1132</v>
      </c>
      <c r="F512" s="224" t="s">
        <v>247</v>
      </c>
      <c r="G512" s="224" t="s">
        <v>292</v>
      </c>
      <c r="H512" s="16">
        <f t="shared" si="216"/>
        <v>17</v>
      </c>
    </row>
    <row r="513" spans="1:8" x14ac:dyDescent="0.35">
      <c r="A513" s="196"/>
      <c r="B513" s="196"/>
      <c r="C513" s="222" t="str">
        <f>IF(B513="",C509,B513)</f>
        <v>450</v>
      </c>
      <c r="D513" s="196" t="s">
        <v>221</v>
      </c>
      <c r="E513" s="208" t="s">
        <v>729</v>
      </c>
      <c r="F513" s="196" t="s">
        <v>219</v>
      </c>
      <c r="G513" s="196" t="s">
        <v>217</v>
      </c>
      <c r="H513">
        <f t="shared" si="212"/>
        <v>24</v>
      </c>
    </row>
    <row r="514" spans="1:8" x14ac:dyDescent="0.35">
      <c r="A514" s="196"/>
      <c r="B514" s="196"/>
      <c r="C514" s="222" t="str">
        <f t="shared" si="211"/>
        <v>450</v>
      </c>
      <c r="D514" s="196" t="s">
        <v>272</v>
      </c>
      <c r="E514" s="213" t="s">
        <v>509</v>
      </c>
      <c r="F514" s="196" t="s">
        <v>247</v>
      </c>
      <c r="G514" s="196" t="s">
        <v>292</v>
      </c>
      <c r="H514">
        <f t="shared" si="212"/>
        <v>18</v>
      </c>
    </row>
    <row r="515" spans="1:8" x14ac:dyDescent="0.35">
      <c r="A515" s="196"/>
      <c r="B515" s="196"/>
      <c r="C515" s="222" t="str">
        <f t="shared" si="211"/>
        <v>450</v>
      </c>
      <c r="D515" s="196" t="s">
        <v>275</v>
      </c>
      <c r="E515" s="213" t="s">
        <v>510</v>
      </c>
      <c r="F515" s="196" t="s">
        <v>247</v>
      </c>
      <c r="G515" s="196" t="s">
        <v>292</v>
      </c>
      <c r="H515">
        <f t="shared" si="212"/>
        <v>27</v>
      </c>
    </row>
    <row r="516" spans="1:8" x14ac:dyDescent="0.35">
      <c r="A516" s="196"/>
      <c r="B516" s="196"/>
      <c r="C516" s="222" t="str">
        <f t="shared" si="211"/>
        <v>450</v>
      </c>
      <c r="D516" s="196" t="s">
        <v>278</v>
      </c>
      <c r="E516" s="213" t="s">
        <v>511</v>
      </c>
      <c r="F516" s="196" t="s">
        <v>247</v>
      </c>
      <c r="G516" s="196" t="s">
        <v>292</v>
      </c>
      <c r="H516">
        <f t="shared" si="212"/>
        <v>15</v>
      </c>
    </row>
    <row r="517" spans="1:8" x14ac:dyDescent="0.35">
      <c r="A517" s="196"/>
      <c r="B517" s="196"/>
      <c r="C517" s="222" t="str">
        <f t="shared" si="211"/>
        <v>450</v>
      </c>
      <c r="D517" s="196" t="s">
        <v>281</v>
      </c>
      <c r="E517" s="213" t="s">
        <v>603</v>
      </c>
      <c r="F517" s="196" t="s">
        <v>247</v>
      </c>
      <c r="G517" s="196" t="s">
        <v>292</v>
      </c>
      <c r="H517">
        <f t="shared" si="212"/>
        <v>30</v>
      </c>
    </row>
    <row r="518" spans="1:8" x14ac:dyDescent="0.35">
      <c r="A518" s="196"/>
      <c r="B518" s="196"/>
      <c r="C518" s="222" t="str">
        <f t="shared" si="211"/>
        <v>450</v>
      </c>
      <c r="D518" s="196" t="s">
        <v>298</v>
      </c>
      <c r="E518" s="213" t="s">
        <v>512</v>
      </c>
      <c r="F518" s="196" t="s">
        <v>247</v>
      </c>
      <c r="G518" s="196" t="s">
        <v>292</v>
      </c>
      <c r="H518">
        <f t="shared" si="212"/>
        <v>18</v>
      </c>
    </row>
    <row r="519" spans="1:8" x14ac:dyDescent="0.35">
      <c r="A519" s="196"/>
      <c r="B519" s="196"/>
      <c r="C519" s="222" t="str">
        <f t="shared" si="211"/>
        <v>450</v>
      </c>
      <c r="D519" s="196" t="s">
        <v>299</v>
      </c>
      <c r="E519" s="213" t="s">
        <v>513</v>
      </c>
      <c r="F519" s="196" t="s">
        <v>247</v>
      </c>
      <c r="G519" s="196" t="s">
        <v>292</v>
      </c>
      <c r="H519">
        <f t="shared" si="212"/>
        <v>19</v>
      </c>
    </row>
    <row r="520" spans="1:8" x14ac:dyDescent="0.35">
      <c r="A520" s="196"/>
      <c r="B520" s="196"/>
      <c r="C520" s="222" t="str">
        <f t="shared" si="211"/>
        <v>450</v>
      </c>
      <c r="D520" s="196" t="s">
        <v>300</v>
      </c>
      <c r="E520" s="213" t="s">
        <v>514</v>
      </c>
      <c r="F520" s="196" t="s">
        <v>247</v>
      </c>
      <c r="G520" s="196" t="s">
        <v>292</v>
      </c>
      <c r="H520">
        <f t="shared" si="212"/>
        <v>21</v>
      </c>
    </row>
    <row r="521" spans="1:8" x14ac:dyDescent="0.35">
      <c r="A521" s="196"/>
      <c r="B521" s="196"/>
      <c r="C521" s="222" t="str">
        <f t="shared" si="211"/>
        <v>450</v>
      </c>
      <c r="D521" s="196" t="s">
        <v>301</v>
      </c>
      <c r="E521" s="213" t="s">
        <v>515</v>
      </c>
      <c r="F521" s="196" t="s">
        <v>247</v>
      </c>
      <c r="G521" s="196" t="s">
        <v>292</v>
      </c>
      <c r="H521">
        <f t="shared" ref="H521:H534" si="217">LEN(E521)</f>
        <v>21</v>
      </c>
    </row>
    <row r="522" spans="1:8" x14ac:dyDescent="0.35">
      <c r="A522" s="196"/>
      <c r="B522" s="196"/>
      <c r="C522" s="222" t="str">
        <f t="shared" si="211"/>
        <v>450</v>
      </c>
      <c r="D522" s="196" t="s">
        <v>414</v>
      </c>
      <c r="E522" s="213" t="s">
        <v>516</v>
      </c>
      <c r="F522" s="196" t="s">
        <v>247</v>
      </c>
      <c r="G522" s="196" t="s">
        <v>292</v>
      </c>
      <c r="H522">
        <f t="shared" si="217"/>
        <v>19</v>
      </c>
    </row>
    <row r="523" spans="1:8" x14ac:dyDescent="0.35">
      <c r="A523" s="196"/>
      <c r="B523" s="196"/>
      <c r="C523" s="222" t="str">
        <f t="shared" si="211"/>
        <v>450</v>
      </c>
      <c r="D523" s="196" t="s">
        <v>415</v>
      </c>
      <c r="E523" s="213" t="s">
        <v>517</v>
      </c>
      <c r="F523" s="196" t="s">
        <v>247</v>
      </c>
      <c r="G523" s="196" t="s">
        <v>292</v>
      </c>
      <c r="H523">
        <f t="shared" si="217"/>
        <v>21</v>
      </c>
    </row>
    <row r="524" spans="1:8" x14ac:dyDescent="0.35">
      <c r="A524" s="196"/>
      <c r="B524" s="196"/>
      <c r="C524" s="222" t="str">
        <f t="shared" si="211"/>
        <v>450</v>
      </c>
      <c r="D524" s="196" t="s">
        <v>416</v>
      </c>
      <c r="E524" s="213" t="s">
        <v>518</v>
      </c>
      <c r="F524" s="196" t="s">
        <v>247</v>
      </c>
      <c r="G524" s="196" t="s">
        <v>292</v>
      </c>
      <c r="H524">
        <f t="shared" si="217"/>
        <v>20</v>
      </c>
    </row>
    <row r="525" spans="1:8" x14ac:dyDescent="0.35">
      <c r="A525" s="196"/>
      <c r="B525" s="196"/>
      <c r="C525" s="222" t="str">
        <f t="shared" si="211"/>
        <v>450</v>
      </c>
      <c r="D525" s="196" t="s">
        <v>450</v>
      </c>
      <c r="E525" s="213" t="s">
        <v>519</v>
      </c>
      <c r="F525" s="196" t="s">
        <v>247</v>
      </c>
      <c r="G525" s="196" t="s">
        <v>292</v>
      </c>
      <c r="H525">
        <f t="shared" si="217"/>
        <v>16</v>
      </c>
    </row>
    <row r="526" spans="1:8" s="197" customFormat="1" x14ac:dyDescent="0.35">
      <c r="A526" s="196"/>
      <c r="B526" s="196"/>
      <c r="C526" s="222" t="str">
        <f t="shared" si="211"/>
        <v>450</v>
      </c>
      <c r="D526" s="196" t="s">
        <v>451</v>
      </c>
      <c r="E526" s="213" t="s">
        <v>520</v>
      </c>
      <c r="F526" s="196" t="s">
        <v>247</v>
      </c>
      <c r="G526" s="196" t="s">
        <v>292</v>
      </c>
      <c r="H526">
        <f t="shared" si="217"/>
        <v>18</v>
      </c>
    </row>
    <row r="527" spans="1:8" x14ac:dyDescent="0.35">
      <c r="A527" s="196"/>
      <c r="B527" s="196"/>
      <c r="C527" s="222" t="str">
        <f t="shared" si="211"/>
        <v>450</v>
      </c>
      <c r="D527" s="196" t="s">
        <v>222</v>
      </c>
      <c r="E527" s="208" t="s">
        <v>730</v>
      </c>
      <c r="F527" s="196" t="s">
        <v>219</v>
      </c>
      <c r="G527" s="196" t="s">
        <v>217</v>
      </c>
      <c r="H527">
        <f t="shared" si="217"/>
        <v>27</v>
      </c>
    </row>
    <row r="528" spans="1:8" x14ac:dyDescent="0.35">
      <c r="A528" s="196"/>
      <c r="B528" s="196"/>
      <c r="C528" s="222" t="str">
        <f t="shared" si="211"/>
        <v>450</v>
      </c>
      <c r="D528" s="196" t="s">
        <v>303</v>
      </c>
      <c r="E528" s="213" t="s">
        <v>509</v>
      </c>
      <c r="F528" s="196" t="s">
        <v>247</v>
      </c>
      <c r="G528" s="196" t="s">
        <v>292</v>
      </c>
      <c r="H528">
        <f t="shared" si="217"/>
        <v>18</v>
      </c>
    </row>
    <row r="529" spans="1:8" x14ac:dyDescent="0.35">
      <c r="A529" s="196"/>
      <c r="B529" s="196"/>
      <c r="C529" s="222" t="str">
        <f t="shared" si="211"/>
        <v>450</v>
      </c>
      <c r="D529" s="196" t="s">
        <v>304</v>
      </c>
      <c r="E529" s="213" t="s">
        <v>510</v>
      </c>
      <c r="F529" s="196" t="s">
        <v>247</v>
      </c>
      <c r="G529" s="196" t="s">
        <v>292</v>
      </c>
      <c r="H529">
        <f t="shared" si="217"/>
        <v>27</v>
      </c>
    </row>
    <row r="530" spans="1:8" x14ac:dyDescent="0.35">
      <c r="A530" s="196"/>
      <c r="B530" s="196"/>
      <c r="C530" s="222" t="str">
        <f t="shared" si="211"/>
        <v>450</v>
      </c>
      <c r="D530" s="196" t="s">
        <v>305</v>
      </c>
      <c r="E530" s="213" t="s">
        <v>511</v>
      </c>
      <c r="F530" s="196" t="s">
        <v>247</v>
      </c>
      <c r="G530" s="196" t="s">
        <v>292</v>
      </c>
      <c r="H530">
        <f t="shared" si="217"/>
        <v>15</v>
      </c>
    </row>
    <row r="531" spans="1:8" x14ac:dyDescent="0.35">
      <c r="A531" s="196"/>
      <c r="B531" s="196"/>
      <c r="C531" s="222" t="str">
        <f t="shared" si="211"/>
        <v>450</v>
      </c>
      <c r="D531" s="196" t="s">
        <v>306</v>
      </c>
      <c r="E531" s="213" t="s">
        <v>603</v>
      </c>
      <c r="F531" s="196" t="s">
        <v>247</v>
      </c>
      <c r="G531" s="196" t="s">
        <v>292</v>
      </c>
      <c r="H531">
        <f t="shared" si="217"/>
        <v>30</v>
      </c>
    </row>
    <row r="532" spans="1:8" x14ac:dyDescent="0.35">
      <c r="A532" s="196"/>
      <c r="B532" s="196"/>
      <c r="C532" s="222" t="str">
        <f t="shared" si="211"/>
        <v>450</v>
      </c>
      <c r="D532" s="196" t="s">
        <v>307</v>
      </c>
      <c r="E532" s="213" t="s">
        <v>512</v>
      </c>
      <c r="F532" s="196" t="s">
        <v>247</v>
      </c>
      <c r="G532" s="196" t="s">
        <v>292</v>
      </c>
      <c r="H532">
        <f t="shared" si="217"/>
        <v>18</v>
      </c>
    </row>
    <row r="533" spans="1:8" x14ac:dyDescent="0.35">
      <c r="A533" s="196"/>
      <c r="B533" s="196"/>
      <c r="C533" s="222" t="str">
        <f t="shared" si="211"/>
        <v>450</v>
      </c>
      <c r="D533" s="196" t="s">
        <v>308</v>
      </c>
      <c r="E533" s="213" t="s">
        <v>513</v>
      </c>
      <c r="F533" s="196" t="s">
        <v>247</v>
      </c>
      <c r="G533" s="196" t="s">
        <v>292</v>
      </c>
      <c r="H533">
        <f t="shared" si="217"/>
        <v>19</v>
      </c>
    </row>
    <row r="534" spans="1:8" x14ac:dyDescent="0.35">
      <c r="A534" s="196"/>
      <c r="B534" s="196"/>
      <c r="C534" s="222" t="str">
        <f t="shared" si="211"/>
        <v>450</v>
      </c>
      <c r="D534" s="196" t="s">
        <v>309</v>
      </c>
      <c r="E534" s="213" t="s">
        <v>514</v>
      </c>
      <c r="F534" s="196" t="s">
        <v>247</v>
      </c>
      <c r="G534" s="196" t="s">
        <v>292</v>
      </c>
      <c r="H534">
        <f t="shared" si="217"/>
        <v>21</v>
      </c>
    </row>
    <row r="535" spans="1:8" x14ac:dyDescent="0.35">
      <c r="A535" s="196"/>
      <c r="B535" s="196"/>
      <c r="C535" s="222" t="str">
        <f t="shared" si="211"/>
        <v>450</v>
      </c>
      <c r="D535" s="196" t="s">
        <v>310</v>
      </c>
      <c r="E535" s="213" t="s">
        <v>515</v>
      </c>
      <c r="F535" s="196" t="s">
        <v>247</v>
      </c>
      <c r="G535" s="196" t="s">
        <v>292</v>
      </c>
      <c r="H535">
        <f t="shared" ref="H535:H540" si="218">LEN(E535)</f>
        <v>21</v>
      </c>
    </row>
    <row r="536" spans="1:8" x14ac:dyDescent="0.35">
      <c r="A536" s="196"/>
      <c r="B536" s="196"/>
      <c r="C536" s="222" t="str">
        <f t="shared" si="211"/>
        <v>450</v>
      </c>
      <c r="D536" s="196" t="s">
        <v>311</v>
      </c>
      <c r="E536" s="213" t="s">
        <v>516</v>
      </c>
      <c r="F536" s="196" t="s">
        <v>247</v>
      </c>
      <c r="G536" s="196" t="s">
        <v>292</v>
      </c>
      <c r="H536">
        <f t="shared" si="218"/>
        <v>19</v>
      </c>
    </row>
    <row r="537" spans="1:8" x14ac:dyDescent="0.35">
      <c r="A537" s="196"/>
      <c r="B537" s="196"/>
      <c r="C537" s="222" t="str">
        <f t="shared" si="211"/>
        <v>450</v>
      </c>
      <c r="D537" s="196" t="s">
        <v>312</v>
      </c>
      <c r="E537" s="213" t="s">
        <v>517</v>
      </c>
      <c r="F537" s="196" t="s">
        <v>247</v>
      </c>
      <c r="G537" s="196" t="s">
        <v>292</v>
      </c>
      <c r="H537">
        <f t="shared" si="218"/>
        <v>21</v>
      </c>
    </row>
    <row r="538" spans="1:8" x14ac:dyDescent="0.35">
      <c r="A538" s="196"/>
      <c r="B538" s="196"/>
      <c r="C538" s="222" t="str">
        <f t="shared" si="211"/>
        <v>450</v>
      </c>
      <c r="D538" s="196" t="s">
        <v>313</v>
      </c>
      <c r="E538" s="213" t="s">
        <v>518</v>
      </c>
      <c r="F538" s="196" t="s">
        <v>247</v>
      </c>
      <c r="G538" s="196" t="s">
        <v>292</v>
      </c>
      <c r="H538">
        <f t="shared" si="218"/>
        <v>20</v>
      </c>
    </row>
    <row r="539" spans="1:8" x14ac:dyDescent="0.35">
      <c r="A539" s="196"/>
      <c r="B539" s="196"/>
      <c r="C539" s="222" t="str">
        <f t="shared" ref="C539:C591" si="219">IF(B539="",C538,B539)</f>
        <v>450</v>
      </c>
      <c r="D539" s="196" t="s">
        <v>452</v>
      </c>
      <c r="E539" s="213" t="s">
        <v>519</v>
      </c>
      <c r="F539" s="196" t="s">
        <v>247</v>
      </c>
      <c r="G539" s="196" t="s">
        <v>292</v>
      </c>
      <c r="H539">
        <f t="shared" si="218"/>
        <v>16</v>
      </c>
    </row>
    <row r="540" spans="1:8" x14ac:dyDescent="0.35">
      <c r="A540" s="196"/>
      <c r="B540" s="196"/>
      <c r="C540" s="222" t="str">
        <f t="shared" si="219"/>
        <v>450</v>
      </c>
      <c r="D540" s="196" t="s">
        <v>453</v>
      </c>
      <c r="E540" s="213" t="s">
        <v>520</v>
      </c>
      <c r="F540" s="196" t="s">
        <v>247</v>
      </c>
      <c r="G540" s="196" t="s">
        <v>292</v>
      </c>
      <c r="H540">
        <f t="shared" si="218"/>
        <v>18</v>
      </c>
    </row>
    <row r="541" spans="1:8" x14ac:dyDescent="0.35">
      <c r="A541" s="196"/>
      <c r="B541" s="196"/>
      <c r="C541" s="222" t="str">
        <f t="shared" ref="C541" si="220">IF(B541="",C540,B541)</f>
        <v>450</v>
      </c>
      <c r="D541" s="196" t="s">
        <v>860</v>
      </c>
      <c r="E541" s="213" t="s">
        <v>863</v>
      </c>
      <c r="F541" s="196" t="s">
        <v>247</v>
      </c>
      <c r="G541" s="196" t="s">
        <v>292</v>
      </c>
      <c r="H541">
        <f t="shared" ref="H541:H557" si="221">LEN(E541)</f>
        <v>18</v>
      </c>
    </row>
    <row r="542" spans="1:8" x14ac:dyDescent="0.35">
      <c r="A542" s="196"/>
      <c r="B542" s="196"/>
      <c r="C542" s="223" t="str">
        <f t="shared" ref="C542:C543" si="222">IF(B542="",C541,B542)</f>
        <v>450</v>
      </c>
      <c r="D542" s="224" t="s">
        <v>948</v>
      </c>
      <c r="E542" s="225" t="s">
        <v>1131</v>
      </c>
      <c r="F542" s="224" t="s">
        <v>247</v>
      </c>
      <c r="G542" s="224" t="s">
        <v>292</v>
      </c>
      <c r="H542" s="16">
        <f t="shared" ref="H542:H543" si="223">LEN(E542)</f>
        <v>18</v>
      </c>
    </row>
    <row r="543" spans="1:8" x14ac:dyDescent="0.35">
      <c r="A543" s="196"/>
      <c r="B543" s="196"/>
      <c r="C543" s="223" t="str">
        <f t="shared" si="222"/>
        <v>450</v>
      </c>
      <c r="D543" s="224" t="s">
        <v>949</v>
      </c>
      <c r="E543" s="225" t="s">
        <v>1132</v>
      </c>
      <c r="F543" s="224" t="s">
        <v>247</v>
      </c>
      <c r="G543" s="224" t="s">
        <v>292</v>
      </c>
      <c r="H543" s="16">
        <f t="shared" si="223"/>
        <v>17</v>
      </c>
    </row>
    <row r="544" spans="1:8" x14ac:dyDescent="0.35">
      <c r="A544" s="196"/>
      <c r="B544" s="196"/>
      <c r="C544" s="271" t="str">
        <f>IF(B544="",C540,B544)</f>
        <v>450</v>
      </c>
      <c r="D544" s="226" t="s">
        <v>224</v>
      </c>
      <c r="E544" s="249" t="s">
        <v>893</v>
      </c>
      <c r="F544" s="226" t="s">
        <v>219</v>
      </c>
      <c r="G544" s="226" t="s">
        <v>217</v>
      </c>
      <c r="H544" s="9">
        <f t="shared" si="221"/>
        <v>23</v>
      </c>
    </row>
    <row r="545" spans="1:8" x14ac:dyDescent="0.35">
      <c r="A545" s="196"/>
      <c r="B545" s="196"/>
      <c r="C545" s="271" t="str">
        <f t="shared" ref="C545:C557" si="224">IF(B545="",C544,B545)</f>
        <v>450</v>
      </c>
      <c r="D545" s="226" t="s">
        <v>367</v>
      </c>
      <c r="E545" s="272" t="s">
        <v>509</v>
      </c>
      <c r="F545" s="226" t="s">
        <v>247</v>
      </c>
      <c r="G545" s="226" t="s">
        <v>292</v>
      </c>
      <c r="H545" s="9">
        <f t="shared" si="221"/>
        <v>18</v>
      </c>
    </row>
    <row r="546" spans="1:8" x14ac:dyDescent="0.35">
      <c r="A546" s="196"/>
      <c r="B546" s="196"/>
      <c r="C546" s="271" t="str">
        <f t="shared" si="224"/>
        <v>450</v>
      </c>
      <c r="D546" s="226" t="s">
        <v>371</v>
      </c>
      <c r="E546" s="272" t="s">
        <v>510</v>
      </c>
      <c r="F546" s="226" t="s">
        <v>247</v>
      </c>
      <c r="G546" s="226" t="s">
        <v>292</v>
      </c>
      <c r="H546" s="9">
        <f t="shared" si="221"/>
        <v>27</v>
      </c>
    </row>
    <row r="547" spans="1:8" x14ac:dyDescent="0.35">
      <c r="A547" s="196"/>
      <c r="B547" s="196"/>
      <c r="C547" s="271" t="str">
        <f t="shared" si="224"/>
        <v>450</v>
      </c>
      <c r="D547" s="226" t="s">
        <v>421</v>
      </c>
      <c r="E547" s="272" t="s">
        <v>511</v>
      </c>
      <c r="F547" s="226" t="s">
        <v>247</v>
      </c>
      <c r="G547" s="226" t="s">
        <v>292</v>
      </c>
      <c r="H547" s="9">
        <f t="shared" si="221"/>
        <v>15</v>
      </c>
    </row>
    <row r="548" spans="1:8" x14ac:dyDescent="0.35">
      <c r="A548" s="196"/>
      <c r="B548" s="196"/>
      <c r="C548" s="271" t="str">
        <f t="shared" si="224"/>
        <v>450</v>
      </c>
      <c r="D548" s="226" t="s">
        <v>422</v>
      </c>
      <c r="E548" s="272" t="s">
        <v>603</v>
      </c>
      <c r="F548" s="226" t="s">
        <v>247</v>
      </c>
      <c r="G548" s="226" t="s">
        <v>292</v>
      </c>
      <c r="H548" s="9">
        <f t="shared" si="221"/>
        <v>30</v>
      </c>
    </row>
    <row r="549" spans="1:8" x14ac:dyDescent="0.35">
      <c r="A549" s="196"/>
      <c r="B549" s="196"/>
      <c r="C549" s="271" t="str">
        <f t="shared" si="224"/>
        <v>450</v>
      </c>
      <c r="D549" s="226" t="s">
        <v>423</v>
      </c>
      <c r="E549" s="272" t="s">
        <v>512</v>
      </c>
      <c r="F549" s="226" t="s">
        <v>247</v>
      </c>
      <c r="G549" s="226" t="s">
        <v>292</v>
      </c>
      <c r="H549" s="9">
        <f t="shared" si="221"/>
        <v>18</v>
      </c>
    </row>
    <row r="550" spans="1:8" x14ac:dyDescent="0.35">
      <c r="A550" s="196"/>
      <c r="B550" s="196"/>
      <c r="C550" s="271" t="str">
        <f t="shared" si="224"/>
        <v>450</v>
      </c>
      <c r="D550" s="226" t="s">
        <v>471</v>
      </c>
      <c r="E550" s="272" t="s">
        <v>513</v>
      </c>
      <c r="F550" s="226" t="s">
        <v>247</v>
      </c>
      <c r="G550" s="226" t="s">
        <v>292</v>
      </c>
      <c r="H550" s="9">
        <f t="shared" si="221"/>
        <v>19</v>
      </c>
    </row>
    <row r="551" spans="1:8" x14ac:dyDescent="0.35">
      <c r="A551" s="196"/>
      <c r="B551" s="196"/>
      <c r="C551" s="271" t="str">
        <f t="shared" si="224"/>
        <v>450</v>
      </c>
      <c r="D551" s="226" t="s">
        <v>472</v>
      </c>
      <c r="E551" s="272" t="s">
        <v>514</v>
      </c>
      <c r="F551" s="226" t="s">
        <v>247</v>
      </c>
      <c r="G551" s="226" t="s">
        <v>292</v>
      </c>
      <c r="H551" s="9">
        <f t="shared" si="221"/>
        <v>21</v>
      </c>
    </row>
    <row r="552" spans="1:8" x14ac:dyDescent="0.35">
      <c r="A552" s="196"/>
      <c r="B552" s="196"/>
      <c r="C552" s="271" t="str">
        <f t="shared" si="224"/>
        <v>450</v>
      </c>
      <c r="D552" s="226" t="s">
        <v>473</v>
      </c>
      <c r="E552" s="272" t="s">
        <v>515</v>
      </c>
      <c r="F552" s="226" t="s">
        <v>247</v>
      </c>
      <c r="G552" s="226" t="s">
        <v>292</v>
      </c>
      <c r="H552" s="9">
        <f t="shared" si="221"/>
        <v>21</v>
      </c>
    </row>
    <row r="553" spans="1:8" x14ac:dyDescent="0.35">
      <c r="A553" s="196"/>
      <c r="B553" s="196"/>
      <c r="C553" s="271" t="str">
        <f t="shared" si="224"/>
        <v>450</v>
      </c>
      <c r="D553" s="226" t="s">
        <v>474</v>
      </c>
      <c r="E553" s="272" t="s">
        <v>516</v>
      </c>
      <c r="F553" s="226" t="s">
        <v>247</v>
      </c>
      <c r="G553" s="226" t="s">
        <v>292</v>
      </c>
      <c r="H553" s="9">
        <f t="shared" si="221"/>
        <v>19</v>
      </c>
    </row>
    <row r="554" spans="1:8" x14ac:dyDescent="0.35">
      <c r="A554" s="196"/>
      <c r="B554" s="196"/>
      <c r="C554" s="271" t="str">
        <f t="shared" si="224"/>
        <v>450</v>
      </c>
      <c r="D554" s="226" t="s">
        <v>720</v>
      </c>
      <c r="E554" s="272" t="s">
        <v>517</v>
      </c>
      <c r="F554" s="226" t="s">
        <v>247</v>
      </c>
      <c r="G554" s="226" t="s">
        <v>292</v>
      </c>
      <c r="H554" s="9">
        <f t="shared" si="221"/>
        <v>21</v>
      </c>
    </row>
    <row r="555" spans="1:8" x14ac:dyDescent="0.35">
      <c r="A555" s="196"/>
      <c r="B555" s="196"/>
      <c r="C555" s="271" t="str">
        <f t="shared" si="224"/>
        <v>450</v>
      </c>
      <c r="D555" s="226" t="s">
        <v>721</v>
      </c>
      <c r="E555" s="272" t="s">
        <v>518</v>
      </c>
      <c r="F555" s="226" t="s">
        <v>247</v>
      </c>
      <c r="G555" s="226" t="s">
        <v>292</v>
      </c>
      <c r="H555" s="9">
        <f t="shared" si="221"/>
        <v>20</v>
      </c>
    </row>
    <row r="556" spans="1:8" x14ac:dyDescent="0.35">
      <c r="A556" s="196"/>
      <c r="B556" s="196"/>
      <c r="C556" s="271" t="str">
        <f t="shared" si="224"/>
        <v>450</v>
      </c>
      <c r="D556" s="226" t="s">
        <v>722</v>
      </c>
      <c r="E556" s="272" t="s">
        <v>519</v>
      </c>
      <c r="F556" s="226" t="s">
        <v>247</v>
      </c>
      <c r="G556" s="226" t="s">
        <v>292</v>
      </c>
      <c r="H556" s="9">
        <f t="shared" si="221"/>
        <v>16</v>
      </c>
    </row>
    <row r="557" spans="1:8" s="197" customFormat="1" x14ac:dyDescent="0.35">
      <c r="A557" s="196"/>
      <c r="B557" s="196"/>
      <c r="C557" s="271" t="str">
        <f t="shared" si="224"/>
        <v>450</v>
      </c>
      <c r="D557" s="226" t="s">
        <v>723</v>
      </c>
      <c r="E557" s="272" t="s">
        <v>520</v>
      </c>
      <c r="F557" s="226" t="s">
        <v>247</v>
      </c>
      <c r="G557" s="226" t="s">
        <v>292</v>
      </c>
      <c r="H557" s="9">
        <f t="shared" si="221"/>
        <v>18</v>
      </c>
    </row>
    <row r="558" spans="1:8" s="197" customFormat="1" x14ac:dyDescent="0.35">
      <c r="A558" s="196"/>
      <c r="B558" s="196"/>
      <c r="C558" s="271" t="str">
        <f t="shared" ref="C558" si="225">IF(B558="",C557,B558)</f>
        <v>450</v>
      </c>
      <c r="D558" s="226" t="s">
        <v>867</v>
      </c>
      <c r="E558" s="272" t="s">
        <v>863</v>
      </c>
      <c r="F558" s="226" t="s">
        <v>247</v>
      </c>
      <c r="G558" s="226" t="s">
        <v>292</v>
      </c>
      <c r="H558" s="9">
        <f t="shared" ref="H558" si="226">LEN(E558)</f>
        <v>18</v>
      </c>
    </row>
    <row r="559" spans="1:8" s="197" customFormat="1" x14ac:dyDescent="0.35">
      <c r="A559" s="196"/>
      <c r="B559" s="196"/>
      <c r="C559" s="222" t="str">
        <f>IF(B559="",C540,B559)</f>
        <v>450</v>
      </c>
      <c r="D559" s="196" t="s">
        <v>286</v>
      </c>
      <c r="E559" s="213" t="s">
        <v>533</v>
      </c>
      <c r="F559" s="196" t="s">
        <v>219</v>
      </c>
      <c r="G559" s="196" t="s">
        <v>164</v>
      </c>
      <c r="H559">
        <f>LEN(E559)</f>
        <v>21</v>
      </c>
    </row>
    <row r="560" spans="1:8" s="197" customFormat="1" x14ac:dyDescent="0.35">
      <c r="A560" s="196"/>
      <c r="B560" s="196" t="s">
        <v>727</v>
      </c>
      <c r="C560" s="222" t="str">
        <f t="shared" si="219"/>
        <v>460</v>
      </c>
      <c r="D560" s="196"/>
      <c r="E560" s="208" t="s">
        <v>413</v>
      </c>
      <c r="F560" s="196" t="s">
        <v>216</v>
      </c>
      <c r="G560" s="196" t="s">
        <v>217</v>
      </c>
      <c r="H560">
        <f t="shared" si="212"/>
        <v>18</v>
      </c>
    </row>
    <row r="561" spans="1:8" x14ac:dyDescent="0.35">
      <c r="A561" s="196"/>
      <c r="B561" s="196"/>
      <c r="C561" s="222" t="str">
        <f t="shared" si="219"/>
        <v>460</v>
      </c>
      <c r="D561" s="196" t="s">
        <v>218</v>
      </c>
      <c r="E561" s="208" t="s">
        <v>731</v>
      </c>
      <c r="F561" s="196"/>
      <c r="G561" s="196"/>
    </row>
    <row r="562" spans="1:8" x14ac:dyDescent="0.35">
      <c r="A562" s="196"/>
      <c r="B562" s="196"/>
      <c r="C562" s="222" t="str">
        <f t="shared" si="219"/>
        <v>460</v>
      </c>
      <c r="D562" s="196" t="s">
        <v>53</v>
      </c>
      <c r="E562" s="213" t="s">
        <v>521</v>
      </c>
      <c r="F562" s="196" t="s">
        <v>247</v>
      </c>
      <c r="G562" s="196" t="s">
        <v>292</v>
      </c>
      <c r="H562">
        <f t="shared" si="212"/>
        <v>21</v>
      </c>
    </row>
    <row r="563" spans="1:8" x14ac:dyDescent="0.35">
      <c r="A563" s="196"/>
      <c r="B563" s="196"/>
      <c r="C563" s="222" t="str">
        <f t="shared" si="219"/>
        <v>460</v>
      </c>
      <c r="D563" s="196" t="s">
        <v>55</v>
      </c>
      <c r="E563" s="213" t="s">
        <v>522</v>
      </c>
      <c r="F563" s="196" t="s">
        <v>247</v>
      </c>
      <c r="G563" s="196" t="s">
        <v>292</v>
      </c>
      <c r="H563">
        <f t="shared" si="212"/>
        <v>30</v>
      </c>
    </row>
    <row r="564" spans="1:8" x14ac:dyDescent="0.35">
      <c r="A564" s="196"/>
      <c r="B564" s="196"/>
      <c r="C564" s="222" t="str">
        <f t="shared" si="219"/>
        <v>460</v>
      </c>
      <c r="D564" s="196" t="s">
        <v>57</v>
      </c>
      <c r="E564" s="213" t="s">
        <v>523</v>
      </c>
      <c r="F564" s="196" t="s">
        <v>247</v>
      </c>
      <c r="G564" s="196" t="s">
        <v>292</v>
      </c>
      <c r="H564">
        <f t="shared" si="212"/>
        <v>18</v>
      </c>
    </row>
    <row r="565" spans="1:8" x14ac:dyDescent="0.35">
      <c r="A565" s="196"/>
      <c r="B565" s="196"/>
      <c r="C565" s="222" t="str">
        <f t="shared" si="219"/>
        <v>460</v>
      </c>
      <c r="D565" s="196" t="s">
        <v>59</v>
      </c>
      <c r="E565" s="213" t="s">
        <v>706</v>
      </c>
      <c r="F565" s="196" t="s">
        <v>247</v>
      </c>
      <c r="G565" s="196" t="s">
        <v>292</v>
      </c>
      <c r="H565">
        <f t="shared" si="212"/>
        <v>30</v>
      </c>
    </row>
    <row r="566" spans="1:8" x14ac:dyDescent="0.35">
      <c r="A566" s="196"/>
      <c r="B566" s="196"/>
      <c r="C566" s="222" t="str">
        <f t="shared" si="219"/>
        <v>460</v>
      </c>
      <c r="D566" s="196" t="s">
        <v>229</v>
      </c>
      <c r="E566" s="213" t="s">
        <v>524</v>
      </c>
      <c r="F566" s="196" t="s">
        <v>247</v>
      </c>
      <c r="G566" s="196" t="s">
        <v>292</v>
      </c>
      <c r="H566">
        <f t="shared" si="212"/>
        <v>21</v>
      </c>
    </row>
    <row r="567" spans="1:8" x14ac:dyDescent="0.35">
      <c r="A567" s="196"/>
      <c r="B567" s="196"/>
      <c r="C567" s="222" t="str">
        <f t="shared" si="219"/>
        <v>460</v>
      </c>
      <c r="D567" s="196" t="s">
        <v>230</v>
      </c>
      <c r="E567" s="213" t="s">
        <v>525</v>
      </c>
      <c r="F567" s="196" t="s">
        <v>247</v>
      </c>
      <c r="G567" s="196" t="s">
        <v>292</v>
      </c>
      <c r="H567">
        <f t="shared" si="212"/>
        <v>22</v>
      </c>
    </row>
    <row r="568" spans="1:8" x14ac:dyDescent="0.35">
      <c r="A568" s="196"/>
      <c r="B568" s="196"/>
      <c r="C568" s="222" t="str">
        <f t="shared" si="219"/>
        <v>460</v>
      </c>
      <c r="D568" s="196" t="s">
        <v>231</v>
      </c>
      <c r="E568" s="213" t="s">
        <v>526</v>
      </c>
      <c r="F568" s="196" t="s">
        <v>247</v>
      </c>
      <c r="G568" s="196" t="s">
        <v>292</v>
      </c>
      <c r="H568">
        <f t="shared" si="212"/>
        <v>24</v>
      </c>
    </row>
    <row r="569" spans="1:8" x14ac:dyDescent="0.35">
      <c r="A569" s="196"/>
      <c r="B569" s="196"/>
      <c r="C569" s="222" t="str">
        <f t="shared" si="219"/>
        <v>460</v>
      </c>
      <c r="D569" s="196" t="s">
        <v>232</v>
      </c>
      <c r="E569" s="213" t="s">
        <v>527</v>
      </c>
      <c r="F569" s="196" t="s">
        <v>247</v>
      </c>
      <c r="G569" s="196" t="s">
        <v>292</v>
      </c>
      <c r="H569">
        <f t="shared" si="212"/>
        <v>24</v>
      </c>
    </row>
    <row r="570" spans="1:8" x14ac:dyDescent="0.35">
      <c r="A570" s="196"/>
      <c r="B570" s="196"/>
      <c r="C570" s="222" t="str">
        <f t="shared" si="219"/>
        <v>460</v>
      </c>
      <c r="D570" s="196" t="s">
        <v>233</v>
      </c>
      <c r="E570" s="213" t="s">
        <v>528</v>
      </c>
      <c r="F570" s="196" t="s">
        <v>247</v>
      </c>
      <c r="G570" s="196" t="s">
        <v>292</v>
      </c>
      <c r="H570">
        <f t="shared" si="212"/>
        <v>22</v>
      </c>
    </row>
    <row r="571" spans="1:8" x14ac:dyDescent="0.35">
      <c r="A571" s="196"/>
      <c r="B571" s="196"/>
      <c r="C571" s="222" t="str">
        <f t="shared" si="219"/>
        <v>460</v>
      </c>
      <c r="D571" s="196" t="s">
        <v>234</v>
      </c>
      <c r="E571" s="213" t="s">
        <v>529</v>
      </c>
      <c r="F571" s="196" t="s">
        <v>247</v>
      </c>
      <c r="G571" s="196" t="s">
        <v>292</v>
      </c>
      <c r="H571">
        <f t="shared" si="212"/>
        <v>24</v>
      </c>
    </row>
    <row r="572" spans="1:8" x14ac:dyDescent="0.35">
      <c r="A572" s="196"/>
      <c r="B572" s="196"/>
      <c r="C572" s="222" t="str">
        <f t="shared" si="219"/>
        <v>460</v>
      </c>
      <c r="D572" s="196" t="s">
        <v>235</v>
      </c>
      <c r="E572" s="213" t="s">
        <v>530</v>
      </c>
      <c r="F572" s="196" t="s">
        <v>247</v>
      </c>
      <c r="G572" s="196" t="s">
        <v>292</v>
      </c>
      <c r="H572">
        <f t="shared" si="212"/>
        <v>23</v>
      </c>
    </row>
    <row r="573" spans="1:8" x14ac:dyDescent="0.35">
      <c r="A573" s="196"/>
      <c r="B573" s="196"/>
      <c r="C573" s="222" t="str">
        <f t="shared" si="219"/>
        <v>460</v>
      </c>
      <c r="D573" s="196" t="s">
        <v>236</v>
      </c>
      <c r="E573" s="213" t="s">
        <v>531</v>
      </c>
      <c r="F573" s="196" t="s">
        <v>247</v>
      </c>
      <c r="G573" s="196" t="s">
        <v>292</v>
      </c>
      <c r="H573">
        <f t="shared" si="212"/>
        <v>19</v>
      </c>
    </row>
    <row r="574" spans="1:8" s="197" customFormat="1" x14ac:dyDescent="0.35">
      <c r="A574" s="196"/>
      <c r="B574" s="196"/>
      <c r="C574" s="222" t="str">
        <f t="shared" si="219"/>
        <v>460</v>
      </c>
      <c r="D574" s="196" t="s">
        <v>237</v>
      </c>
      <c r="E574" s="213" t="s">
        <v>532</v>
      </c>
      <c r="F574" s="196" t="s">
        <v>247</v>
      </c>
      <c r="G574" s="196" t="s">
        <v>292</v>
      </c>
      <c r="H574">
        <f t="shared" si="212"/>
        <v>21</v>
      </c>
    </row>
    <row r="575" spans="1:8" s="197" customFormat="1" x14ac:dyDescent="0.35">
      <c r="A575" s="196"/>
      <c r="B575" s="196"/>
      <c r="C575" s="222" t="str">
        <f t="shared" ref="C575" si="227">IF(B575="",C574,B575)</f>
        <v>460</v>
      </c>
      <c r="D575" s="196" t="s">
        <v>238</v>
      </c>
      <c r="E575" s="213" t="s">
        <v>864</v>
      </c>
      <c r="F575" s="196" t="s">
        <v>247</v>
      </c>
      <c r="G575" s="196" t="s">
        <v>292</v>
      </c>
      <c r="H575">
        <f t="shared" ref="H575" si="228">LEN(E575)</f>
        <v>21</v>
      </c>
    </row>
    <row r="576" spans="1:8" s="197" customFormat="1" x14ac:dyDescent="0.35">
      <c r="A576" s="196"/>
      <c r="B576" s="196"/>
      <c r="C576" s="223" t="str">
        <f t="shared" ref="C576:C577" si="229">IF(B576="",C575,B576)</f>
        <v>460</v>
      </c>
      <c r="D576" s="224" t="s">
        <v>239</v>
      </c>
      <c r="E576" s="225" t="s">
        <v>1133</v>
      </c>
      <c r="F576" s="224" t="s">
        <v>247</v>
      </c>
      <c r="G576" s="224" t="s">
        <v>292</v>
      </c>
      <c r="H576" s="16">
        <f t="shared" ref="H576:H577" si="230">LEN(E576)</f>
        <v>21</v>
      </c>
    </row>
    <row r="577" spans="1:8" s="197" customFormat="1" x14ac:dyDescent="0.35">
      <c r="A577" s="196"/>
      <c r="B577" s="196"/>
      <c r="C577" s="223" t="str">
        <f t="shared" si="229"/>
        <v>460</v>
      </c>
      <c r="D577" s="224" t="s">
        <v>240</v>
      </c>
      <c r="E577" s="225" t="s">
        <v>1134</v>
      </c>
      <c r="F577" s="224" t="s">
        <v>247</v>
      </c>
      <c r="G577" s="224" t="s">
        <v>292</v>
      </c>
      <c r="H577" s="16">
        <f t="shared" si="230"/>
        <v>20</v>
      </c>
    </row>
    <row r="578" spans="1:8" x14ac:dyDescent="0.35">
      <c r="A578" s="196"/>
      <c r="B578" s="196"/>
      <c r="C578" s="222" t="str">
        <f>IF(B578="",C574,B578)</f>
        <v>460</v>
      </c>
      <c r="D578" s="196" t="s">
        <v>221</v>
      </c>
      <c r="E578" s="208" t="s">
        <v>732</v>
      </c>
      <c r="F578" s="196"/>
      <c r="G578" s="196"/>
    </row>
    <row r="579" spans="1:8" x14ac:dyDescent="0.35">
      <c r="A579" s="196"/>
      <c r="B579" s="196"/>
      <c r="C579" s="222" t="str">
        <f t="shared" si="219"/>
        <v>460</v>
      </c>
      <c r="D579" s="196" t="s">
        <v>272</v>
      </c>
      <c r="E579" s="213" t="s">
        <v>521</v>
      </c>
      <c r="F579" s="196" t="s">
        <v>247</v>
      </c>
      <c r="G579" s="196" t="s">
        <v>292</v>
      </c>
      <c r="H579">
        <f t="shared" ref="H579:H592" si="231">LEN(E579)</f>
        <v>21</v>
      </c>
    </row>
    <row r="580" spans="1:8" x14ac:dyDescent="0.35">
      <c r="A580" s="196"/>
      <c r="B580" s="196"/>
      <c r="C580" s="222" t="str">
        <f t="shared" si="219"/>
        <v>460</v>
      </c>
      <c r="D580" s="196" t="s">
        <v>275</v>
      </c>
      <c r="E580" s="213" t="s">
        <v>522</v>
      </c>
      <c r="F580" s="196" t="s">
        <v>247</v>
      </c>
      <c r="G580" s="196" t="s">
        <v>292</v>
      </c>
      <c r="H580">
        <f t="shared" si="231"/>
        <v>30</v>
      </c>
    </row>
    <row r="581" spans="1:8" x14ac:dyDescent="0.35">
      <c r="A581" s="196"/>
      <c r="B581" s="196"/>
      <c r="C581" s="222" t="str">
        <f t="shared" si="219"/>
        <v>460</v>
      </c>
      <c r="D581" s="196" t="s">
        <v>278</v>
      </c>
      <c r="E581" s="213" t="s">
        <v>523</v>
      </c>
      <c r="F581" s="196" t="s">
        <v>247</v>
      </c>
      <c r="G581" s="196" t="s">
        <v>292</v>
      </c>
      <c r="H581">
        <f t="shared" si="231"/>
        <v>18</v>
      </c>
    </row>
    <row r="582" spans="1:8" x14ac:dyDescent="0.35">
      <c r="A582" s="196"/>
      <c r="B582" s="196"/>
      <c r="C582" s="222" t="str">
        <f t="shared" si="219"/>
        <v>460</v>
      </c>
      <c r="D582" s="196" t="s">
        <v>281</v>
      </c>
      <c r="E582" s="213" t="s">
        <v>706</v>
      </c>
      <c r="F582" s="196" t="s">
        <v>247</v>
      </c>
      <c r="G582" s="196" t="s">
        <v>292</v>
      </c>
      <c r="H582">
        <f t="shared" si="231"/>
        <v>30</v>
      </c>
    </row>
    <row r="583" spans="1:8" x14ac:dyDescent="0.35">
      <c r="A583" s="196"/>
      <c r="B583" s="196"/>
      <c r="C583" s="222" t="str">
        <f t="shared" si="219"/>
        <v>460</v>
      </c>
      <c r="D583" s="196" t="s">
        <v>298</v>
      </c>
      <c r="E583" s="213" t="s">
        <v>524</v>
      </c>
      <c r="F583" s="196" t="s">
        <v>247</v>
      </c>
      <c r="G583" s="196" t="s">
        <v>292</v>
      </c>
      <c r="H583">
        <f t="shared" si="231"/>
        <v>21</v>
      </c>
    </row>
    <row r="584" spans="1:8" x14ac:dyDescent="0.35">
      <c r="A584" s="196"/>
      <c r="B584" s="196"/>
      <c r="C584" s="222" t="str">
        <f t="shared" si="219"/>
        <v>460</v>
      </c>
      <c r="D584" s="196" t="s">
        <v>299</v>
      </c>
      <c r="E584" s="213" t="s">
        <v>525</v>
      </c>
      <c r="F584" s="196" t="s">
        <v>247</v>
      </c>
      <c r="G584" s="196" t="s">
        <v>292</v>
      </c>
      <c r="H584">
        <f t="shared" si="231"/>
        <v>22</v>
      </c>
    </row>
    <row r="585" spans="1:8" x14ac:dyDescent="0.35">
      <c r="A585" s="196"/>
      <c r="B585" s="196"/>
      <c r="C585" s="222" t="str">
        <f t="shared" si="219"/>
        <v>460</v>
      </c>
      <c r="D585" s="196" t="s">
        <v>300</v>
      </c>
      <c r="E585" s="213" t="s">
        <v>526</v>
      </c>
      <c r="F585" s="196" t="s">
        <v>247</v>
      </c>
      <c r="G585" s="196" t="s">
        <v>292</v>
      </c>
      <c r="H585">
        <f t="shared" si="231"/>
        <v>24</v>
      </c>
    </row>
    <row r="586" spans="1:8" x14ac:dyDescent="0.35">
      <c r="A586" s="196"/>
      <c r="B586" s="196"/>
      <c r="C586" s="222" t="str">
        <f t="shared" si="219"/>
        <v>460</v>
      </c>
      <c r="D586" s="196" t="s">
        <v>301</v>
      </c>
      <c r="E586" s="213" t="s">
        <v>527</v>
      </c>
      <c r="F586" s="196" t="s">
        <v>247</v>
      </c>
      <c r="G586" s="196" t="s">
        <v>292</v>
      </c>
      <c r="H586">
        <f t="shared" si="231"/>
        <v>24</v>
      </c>
    </row>
    <row r="587" spans="1:8" x14ac:dyDescent="0.35">
      <c r="A587" s="196"/>
      <c r="B587" s="196"/>
      <c r="C587" s="222" t="str">
        <f t="shared" si="219"/>
        <v>460</v>
      </c>
      <c r="D587" s="196" t="s">
        <v>414</v>
      </c>
      <c r="E587" s="213" t="s">
        <v>528</v>
      </c>
      <c r="F587" s="196" t="s">
        <v>247</v>
      </c>
      <c r="G587" s="196" t="s">
        <v>292</v>
      </c>
      <c r="H587">
        <f t="shared" si="231"/>
        <v>22</v>
      </c>
    </row>
    <row r="588" spans="1:8" x14ac:dyDescent="0.35">
      <c r="A588" s="196"/>
      <c r="B588" s="196"/>
      <c r="C588" s="222" t="str">
        <f t="shared" si="219"/>
        <v>460</v>
      </c>
      <c r="D588" s="196" t="s">
        <v>415</v>
      </c>
      <c r="E588" s="213" t="s">
        <v>529</v>
      </c>
      <c r="F588" s="196" t="s">
        <v>247</v>
      </c>
      <c r="G588" s="196" t="s">
        <v>292</v>
      </c>
      <c r="H588">
        <f t="shared" si="231"/>
        <v>24</v>
      </c>
    </row>
    <row r="589" spans="1:8" x14ac:dyDescent="0.35">
      <c r="A589" s="196"/>
      <c r="B589" s="196"/>
      <c r="C589" s="222" t="str">
        <f t="shared" si="219"/>
        <v>460</v>
      </c>
      <c r="D589" s="196" t="s">
        <v>416</v>
      </c>
      <c r="E589" s="213" t="s">
        <v>530</v>
      </c>
      <c r="F589" s="196" t="s">
        <v>247</v>
      </c>
      <c r="G589" s="196" t="s">
        <v>292</v>
      </c>
      <c r="H589">
        <f t="shared" si="231"/>
        <v>23</v>
      </c>
    </row>
    <row r="590" spans="1:8" x14ac:dyDescent="0.35">
      <c r="A590" s="196"/>
      <c r="B590" s="196"/>
      <c r="C590" s="222" t="str">
        <f t="shared" si="219"/>
        <v>460</v>
      </c>
      <c r="D590" s="196" t="s">
        <v>450</v>
      </c>
      <c r="E590" s="213" t="s">
        <v>531</v>
      </c>
      <c r="F590" s="196" t="s">
        <v>247</v>
      </c>
      <c r="G590" s="196" t="s">
        <v>292</v>
      </c>
      <c r="H590">
        <f t="shared" si="231"/>
        <v>19</v>
      </c>
    </row>
    <row r="591" spans="1:8" s="197" customFormat="1" x14ac:dyDescent="0.35">
      <c r="A591" s="196"/>
      <c r="B591" s="196"/>
      <c r="C591" s="222" t="str">
        <f t="shared" si="219"/>
        <v>460</v>
      </c>
      <c r="D591" s="196" t="s">
        <v>451</v>
      </c>
      <c r="E591" s="213" t="s">
        <v>532</v>
      </c>
      <c r="F591" s="196" t="s">
        <v>247</v>
      </c>
      <c r="G591" s="196" t="s">
        <v>292</v>
      </c>
      <c r="H591">
        <f t="shared" si="231"/>
        <v>21</v>
      </c>
    </row>
    <row r="592" spans="1:8" x14ac:dyDescent="0.35">
      <c r="A592" s="196"/>
      <c r="B592" s="196"/>
      <c r="C592" s="222" t="str">
        <f t="shared" ref="C592:C626" si="232">IF(B592="",C591,B592)</f>
        <v>460</v>
      </c>
      <c r="D592" s="196" t="s">
        <v>222</v>
      </c>
      <c r="E592" s="208" t="s">
        <v>733</v>
      </c>
      <c r="F592" s="196"/>
      <c r="G592" s="196"/>
      <c r="H592">
        <f t="shared" si="231"/>
        <v>25</v>
      </c>
    </row>
    <row r="593" spans="1:8" x14ac:dyDescent="0.35">
      <c r="A593" s="196"/>
      <c r="B593" s="196"/>
      <c r="C593" s="222" t="str">
        <f t="shared" si="232"/>
        <v>460</v>
      </c>
      <c r="D593" s="196" t="s">
        <v>303</v>
      </c>
      <c r="E593" s="213" t="s">
        <v>521</v>
      </c>
      <c r="F593" s="196" t="s">
        <v>247</v>
      </c>
      <c r="G593" s="196" t="s">
        <v>292</v>
      </c>
      <c r="H593">
        <f t="shared" ref="H593:H605" si="233">LEN(E593)</f>
        <v>21</v>
      </c>
    </row>
    <row r="594" spans="1:8" x14ac:dyDescent="0.35">
      <c r="A594" s="196"/>
      <c r="B594" s="196"/>
      <c r="C594" s="222" t="str">
        <f t="shared" si="232"/>
        <v>460</v>
      </c>
      <c r="D594" s="196" t="s">
        <v>304</v>
      </c>
      <c r="E594" s="213" t="s">
        <v>522</v>
      </c>
      <c r="F594" s="196" t="s">
        <v>247</v>
      </c>
      <c r="G594" s="196" t="s">
        <v>292</v>
      </c>
      <c r="H594">
        <f t="shared" si="233"/>
        <v>30</v>
      </c>
    </row>
    <row r="595" spans="1:8" x14ac:dyDescent="0.35">
      <c r="A595" s="196"/>
      <c r="B595" s="196"/>
      <c r="C595" s="222" t="str">
        <f t="shared" si="232"/>
        <v>460</v>
      </c>
      <c r="D595" s="196" t="s">
        <v>305</v>
      </c>
      <c r="E595" s="213" t="s">
        <v>523</v>
      </c>
      <c r="F595" s="196" t="s">
        <v>247</v>
      </c>
      <c r="G595" s="196" t="s">
        <v>292</v>
      </c>
      <c r="H595">
        <f t="shared" si="233"/>
        <v>18</v>
      </c>
    </row>
    <row r="596" spans="1:8" x14ac:dyDescent="0.35">
      <c r="A596" s="196"/>
      <c r="B596" s="196"/>
      <c r="C596" s="222" t="str">
        <f t="shared" si="232"/>
        <v>460</v>
      </c>
      <c r="D596" s="196" t="s">
        <v>306</v>
      </c>
      <c r="E596" s="213" t="s">
        <v>706</v>
      </c>
      <c r="F596" s="196" t="s">
        <v>247</v>
      </c>
      <c r="G596" s="196" t="s">
        <v>292</v>
      </c>
      <c r="H596">
        <f t="shared" si="233"/>
        <v>30</v>
      </c>
    </row>
    <row r="597" spans="1:8" x14ac:dyDescent="0.35">
      <c r="A597" s="196"/>
      <c r="B597" s="196"/>
      <c r="C597" s="222" t="str">
        <f t="shared" si="232"/>
        <v>460</v>
      </c>
      <c r="D597" s="196" t="s">
        <v>307</v>
      </c>
      <c r="E597" s="213" t="s">
        <v>524</v>
      </c>
      <c r="F597" s="196" t="s">
        <v>247</v>
      </c>
      <c r="G597" s="196" t="s">
        <v>292</v>
      </c>
      <c r="H597">
        <f t="shared" si="233"/>
        <v>21</v>
      </c>
    </row>
    <row r="598" spans="1:8" x14ac:dyDescent="0.35">
      <c r="A598" s="196"/>
      <c r="B598" s="196"/>
      <c r="C598" s="222" t="str">
        <f t="shared" si="232"/>
        <v>460</v>
      </c>
      <c r="D598" s="196" t="s">
        <v>308</v>
      </c>
      <c r="E598" s="213" t="s">
        <v>525</v>
      </c>
      <c r="F598" s="196" t="s">
        <v>247</v>
      </c>
      <c r="G598" s="196" t="s">
        <v>292</v>
      </c>
      <c r="H598">
        <f t="shared" si="233"/>
        <v>22</v>
      </c>
    </row>
    <row r="599" spans="1:8" x14ac:dyDescent="0.35">
      <c r="A599" s="196"/>
      <c r="B599" s="196"/>
      <c r="C599" s="222" t="str">
        <f t="shared" si="232"/>
        <v>460</v>
      </c>
      <c r="D599" s="196" t="s">
        <v>309</v>
      </c>
      <c r="E599" s="213" t="s">
        <v>526</v>
      </c>
      <c r="F599" s="196" t="s">
        <v>247</v>
      </c>
      <c r="G599" s="196" t="s">
        <v>292</v>
      </c>
      <c r="H599">
        <f t="shared" si="233"/>
        <v>24</v>
      </c>
    </row>
    <row r="600" spans="1:8" x14ac:dyDescent="0.35">
      <c r="A600" s="196"/>
      <c r="B600" s="196"/>
      <c r="C600" s="222" t="str">
        <f t="shared" si="232"/>
        <v>460</v>
      </c>
      <c r="D600" s="196" t="s">
        <v>310</v>
      </c>
      <c r="E600" s="213" t="s">
        <v>527</v>
      </c>
      <c r="F600" s="196" t="s">
        <v>247</v>
      </c>
      <c r="G600" s="196" t="s">
        <v>292</v>
      </c>
      <c r="H600">
        <f t="shared" si="233"/>
        <v>24</v>
      </c>
    </row>
    <row r="601" spans="1:8" x14ac:dyDescent="0.35">
      <c r="A601" s="196"/>
      <c r="B601" s="196"/>
      <c r="C601" s="222" t="str">
        <f t="shared" si="232"/>
        <v>460</v>
      </c>
      <c r="D601" s="196" t="s">
        <v>311</v>
      </c>
      <c r="E601" s="213" t="s">
        <v>528</v>
      </c>
      <c r="F601" s="196" t="s">
        <v>247</v>
      </c>
      <c r="G601" s="196" t="s">
        <v>292</v>
      </c>
      <c r="H601">
        <f t="shared" si="233"/>
        <v>22</v>
      </c>
    </row>
    <row r="602" spans="1:8" x14ac:dyDescent="0.35">
      <c r="A602" s="196"/>
      <c r="B602" s="196"/>
      <c r="C602" s="222" t="str">
        <f t="shared" si="232"/>
        <v>460</v>
      </c>
      <c r="D602" s="196" t="s">
        <v>312</v>
      </c>
      <c r="E602" s="213" t="s">
        <v>529</v>
      </c>
      <c r="F602" s="196" t="s">
        <v>247</v>
      </c>
      <c r="G602" s="196" t="s">
        <v>292</v>
      </c>
      <c r="H602">
        <f t="shared" si="233"/>
        <v>24</v>
      </c>
    </row>
    <row r="603" spans="1:8" x14ac:dyDescent="0.35">
      <c r="A603" s="196"/>
      <c r="B603" s="196"/>
      <c r="C603" s="222" t="str">
        <f t="shared" si="232"/>
        <v>460</v>
      </c>
      <c r="D603" s="196" t="s">
        <v>313</v>
      </c>
      <c r="E603" s="213" t="s">
        <v>530</v>
      </c>
      <c r="F603" s="196" t="s">
        <v>247</v>
      </c>
      <c r="G603" s="196" t="s">
        <v>292</v>
      </c>
      <c r="H603">
        <f t="shared" si="233"/>
        <v>23</v>
      </c>
    </row>
    <row r="604" spans="1:8" x14ac:dyDescent="0.35">
      <c r="A604" s="196"/>
      <c r="B604" s="196"/>
      <c r="C604" s="222" t="str">
        <f t="shared" si="232"/>
        <v>460</v>
      </c>
      <c r="D604" s="196" t="s">
        <v>452</v>
      </c>
      <c r="E604" s="213" t="s">
        <v>531</v>
      </c>
      <c r="F604" s="196" t="s">
        <v>247</v>
      </c>
      <c r="G604" s="196" t="s">
        <v>292</v>
      </c>
      <c r="H604">
        <f t="shared" si="233"/>
        <v>19</v>
      </c>
    </row>
    <row r="605" spans="1:8" x14ac:dyDescent="0.35">
      <c r="A605" s="196"/>
      <c r="B605" s="196"/>
      <c r="C605" s="222" t="str">
        <f t="shared" si="232"/>
        <v>460</v>
      </c>
      <c r="D605" s="196" t="s">
        <v>453</v>
      </c>
      <c r="E605" s="213" t="s">
        <v>532</v>
      </c>
      <c r="F605" s="196" t="s">
        <v>247</v>
      </c>
      <c r="G605" s="196" t="s">
        <v>292</v>
      </c>
      <c r="H605">
        <f t="shared" si="233"/>
        <v>21</v>
      </c>
    </row>
    <row r="606" spans="1:8" x14ac:dyDescent="0.35">
      <c r="A606" s="196"/>
      <c r="B606" s="196"/>
      <c r="C606" s="222" t="str">
        <f t="shared" ref="C606" si="234">IF(B606="",C605,B606)</f>
        <v>460</v>
      </c>
      <c r="D606" s="196" t="s">
        <v>860</v>
      </c>
      <c r="E606" s="213" t="s">
        <v>864</v>
      </c>
      <c r="F606" s="196" t="s">
        <v>247</v>
      </c>
      <c r="G606" s="196" t="s">
        <v>292</v>
      </c>
      <c r="H606">
        <f t="shared" ref="H606" si="235">LEN(E606)</f>
        <v>21</v>
      </c>
    </row>
    <row r="607" spans="1:8" x14ac:dyDescent="0.35">
      <c r="A607" s="196"/>
      <c r="B607" s="196"/>
      <c r="C607" s="223" t="str">
        <f t="shared" ref="C607:C608" si="236">IF(B607="",C606,B607)</f>
        <v>460</v>
      </c>
      <c r="D607" s="224" t="s">
        <v>948</v>
      </c>
      <c r="E607" s="225" t="s">
        <v>1133</v>
      </c>
      <c r="F607" s="224" t="s">
        <v>247</v>
      </c>
      <c r="G607" s="224" t="s">
        <v>292</v>
      </c>
      <c r="H607" s="16">
        <f t="shared" ref="H607:H608" si="237">LEN(E607)</f>
        <v>21</v>
      </c>
    </row>
    <row r="608" spans="1:8" x14ac:dyDescent="0.35">
      <c r="A608" s="196"/>
      <c r="B608" s="196"/>
      <c r="C608" s="223" t="str">
        <f t="shared" si="236"/>
        <v>460</v>
      </c>
      <c r="D608" s="224" t="s">
        <v>949</v>
      </c>
      <c r="E608" s="225" t="s">
        <v>1134</v>
      </c>
      <c r="F608" s="224" t="s">
        <v>247</v>
      </c>
      <c r="G608" s="224" t="s">
        <v>292</v>
      </c>
      <c r="H608" s="16">
        <f t="shared" si="237"/>
        <v>20</v>
      </c>
    </row>
    <row r="609" spans="1:8" x14ac:dyDescent="0.35">
      <c r="A609" s="196"/>
      <c r="B609" s="196"/>
      <c r="C609" s="271" t="str">
        <f>IF(B609="",C605,B609)</f>
        <v>460</v>
      </c>
      <c r="D609" s="226" t="s">
        <v>224</v>
      </c>
      <c r="E609" s="249" t="s">
        <v>894</v>
      </c>
      <c r="F609" s="226"/>
      <c r="G609" s="226"/>
      <c r="H609" s="9"/>
    </row>
    <row r="610" spans="1:8" x14ac:dyDescent="0.35">
      <c r="A610" s="196"/>
      <c r="B610" s="196"/>
      <c r="C610" s="271" t="str">
        <f t="shared" ref="C610:C622" si="238">IF(B610="",C609,B610)</f>
        <v>460</v>
      </c>
      <c r="D610" s="226" t="s">
        <v>367</v>
      </c>
      <c r="E610" s="272" t="s">
        <v>521</v>
      </c>
      <c r="F610" s="226" t="s">
        <v>247</v>
      </c>
      <c r="G610" s="226" t="s">
        <v>292</v>
      </c>
      <c r="H610" s="9">
        <f t="shared" ref="H610:H622" si="239">LEN(E610)</f>
        <v>21</v>
      </c>
    </row>
    <row r="611" spans="1:8" x14ac:dyDescent="0.35">
      <c r="A611" s="196"/>
      <c r="B611" s="196"/>
      <c r="C611" s="271" t="str">
        <f t="shared" si="238"/>
        <v>460</v>
      </c>
      <c r="D611" s="226" t="s">
        <v>371</v>
      </c>
      <c r="E611" s="272" t="s">
        <v>522</v>
      </c>
      <c r="F611" s="226" t="s">
        <v>247</v>
      </c>
      <c r="G611" s="226" t="s">
        <v>292</v>
      </c>
      <c r="H611" s="9">
        <f t="shared" si="239"/>
        <v>30</v>
      </c>
    </row>
    <row r="612" spans="1:8" x14ac:dyDescent="0.35">
      <c r="A612" s="196"/>
      <c r="B612" s="196"/>
      <c r="C612" s="271" t="str">
        <f t="shared" si="238"/>
        <v>460</v>
      </c>
      <c r="D612" s="226" t="s">
        <v>421</v>
      </c>
      <c r="E612" s="272" t="s">
        <v>523</v>
      </c>
      <c r="F612" s="226" t="s">
        <v>247</v>
      </c>
      <c r="G612" s="226" t="s">
        <v>292</v>
      </c>
      <c r="H612" s="9">
        <f t="shared" si="239"/>
        <v>18</v>
      </c>
    </row>
    <row r="613" spans="1:8" x14ac:dyDescent="0.35">
      <c r="A613" s="196"/>
      <c r="B613" s="196"/>
      <c r="C613" s="271" t="str">
        <f t="shared" si="238"/>
        <v>460</v>
      </c>
      <c r="D613" s="226" t="s">
        <v>422</v>
      </c>
      <c r="E613" s="272" t="s">
        <v>706</v>
      </c>
      <c r="F613" s="226" t="s">
        <v>247</v>
      </c>
      <c r="G613" s="226" t="s">
        <v>292</v>
      </c>
      <c r="H613" s="9">
        <f t="shared" si="239"/>
        <v>30</v>
      </c>
    </row>
    <row r="614" spans="1:8" x14ac:dyDescent="0.35">
      <c r="A614" s="196"/>
      <c r="B614" s="196"/>
      <c r="C614" s="271" t="str">
        <f t="shared" si="238"/>
        <v>460</v>
      </c>
      <c r="D614" s="226" t="s">
        <v>423</v>
      </c>
      <c r="E614" s="272" t="s">
        <v>524</v>
      </c>
      <c r="F614" s="226" t="s">
        <v>247</v>
      </c>
      <c r="G614" s="226" t="s">
        <v>292</v>
      </c>
      <c r="H614" s="9">
        <f t="shared" si="239"/>
        <v>21</v>
      </c>
    </row>
    <row r="615" spans="1:8" x14ac:dyDescent="0.35">
      <c r="A615" s="196"/>
      <c r="B615" s="196"/>
      <c r="C615" s="271" t="str">
        <f t="shared" si="238"/>
        <v>460</v>
      </c>
      <c r="D615" s="226" t="s">
        <v>471</v>
      </c>
      <c r="E615" s="272" t="s">
        <v>525</v>
      </c>
      <c r="F615" s="226" t="s">
        <v>247</v>
      </c>
      <c r="G615" s="226" t="s">
        <v>292</v>
      </c>
      <c r="H615" s="9">
        <f t="shared" si="239"/>
        <v>22</v>
      </c>
    </row>
    <row r="616" spans="1:8" x14ac:dyDescent="0.35">
      <c r="A616" s="196"/>
      <c r="B616" s="196"/>
      <c r="C616" s="271" t="str">
        <f t="shared" si="238"/>
        <v>460</v>
      </c>
      <c r="D616" s="226" t="s">
        <v>472</v>
      </c>
      <c r="E616" s="272" t="s">
        <v>526</v>
      </c>
      <c r="F616" s="226" t="s">
        <v>247</v>
      </c>
      <c r="G616" s="226" t="s">
        <v>292</v>
      </c>
      <c r="H616" s="9">
        <f t="shared" si="239"/>
        <v>24</v>
      </c>
    </row>
    <row r="617" spans="1:8" x14ac:dyDescent="0.35">
      <c r="A617" s="196"/>
      <c r="B617" s="196"/>
      <c r="C617" s="271" t="str">
        <f t="shared" si="238"/>
        <v>460</v>
      </c>
      <c r="D617" s="226" t="s">
        <v>473</v>
      </c>
      <c r="E617" s="272" t="s">
        <v>527</v>
      </c>
      <c r="F617" s="226" t="s">
        <v>247</v>
      </c>
      <c r="G617" s="226" t="s">
        <v>292</v>
      </c>
      <c r="H617" s="9">
        <f t="shared" si="239"/>
        <v>24</v>
      </c>
    </row>
    <row r="618" spans="1:8" x14ac:dyDescent="0.35">
      <c r="A618" s="196"/>
      <c r="B618" s="196"/>
      <c r="C618" s="271" t="str">
        <f t="shared" si="238"/>
        <v>460</v>
      </c>
      <c r="D618" s="226" t="s">
        <v>474</v>
      </c>
      <c r="E618" s="272" t="s">
        <v>528</v>
      </c>
      <c r="F618" s="226" t="s">
        <v>247</v>
      </c>
      <c r="G618" s="226" t="s">
        <v>292</v>
      </c>
      <c r="H618" s="9">
        <f t="shared" si="239"/>
        <v>22</v>
      </c>
    </row>
    <row r="619" spans="1:8" x14ac:dyDescent="0.35">
      <c r="A619" s="196"/>
      <c r="B619" s="196"/>
      <c r="C619" s="271" t="str">
        <f t="shared" si="238"/>
        <v>460</v>
      </c>
      <c r="D619" s="226" t="s">
        <v>720</v>
      </c>
      <c r="E619" s="272" t="s">
        <v>529</v>
      </c>
      <c r="F619" s="226" t="s">
        <v>247</v>
      </c>
      <c r="G619" s="226" t="s">
        <v>292</v>
      </c>
      <c r="H619" s="9">
        <f t="shared" si="239"/>
        <v>24</v>
      </c>
    </row>
    <row r="620" spans="1:8" x14ac:dyDescent="0.35">
      <c r="A620" s="196"/>
      <c r="B620" s="196"/>
      <c r="C620" s="271" t="str">
        <f t="shared" si="238"/>
        <v>460</v>
      </c>
      <c r="D620" s="226" t="s">
        <v>721</v>
      </c>
      <c r="E620" s="272" t="s">
        <v>530</v>
      </c>
      <c r="F620" s="226" t="s">
        <v>247</v>
      </c>
      <c r="G620" s="226" t="s">
        <v>292</v>
      </c>
      <c r="H620" s="9">
        <f t="shared" si="239"/>
        <v>23</v>
      </c>
    </row>
    <row r="621" spans="1:8" x14ac:dyDescent="0.35">
      <c r="A621" s="196"/>
      <c r="B621" s="196"/>
      <c r="C621" s="271" t="str">
        <f t="shared" si="238"/>
        <v>460</v>
      </c>
      <c r="D621" s="226" t="s">
        <v>722</v>
      </c>
      <c r="E621" s="272" t="s">
        <v>531</v>
      </c>
      <c r="F621" s="226" t="s">
        <v>247</v>
      </c>
      <c r="G621" s="226" t="s">
        <v>292</v>
      </c>
      <c r="H621" s="9">
        <f t="shared" si="239"/>
        <v>19</v>
      </c>
    </row>
    <row r="622" spans="1:8" s="197" customFormat="1" x14ac:dyDescent="0.35">
      <c r="A622" s="196"/>
      <c r="B622" s="196"/>
      <c r="C622" s="271" t="str">
        <f t="shared" si="238"/>
        <v>460</v>
      </c>
      <c r="D622" s="226" t="s">
        <v>723</v>
      </c>
      <c r="E622" s="272" t="s">
        <v>532</v>
      </c>
      <c r="F622" s="226" t="s">
        <v>247</v>
      </c>
      <c r="G622" s="226" t="s">
        <v>292</v>
      </c>
      <c r="H622" s="9">
        <f t="shared" si="239"/>
        <v>21</v>
      </c>
    </row>
    <row r="623" spans="1:8" x14ac:dyDescent="0.35">
      <c r="A623" s="196"/>
      <c r="B623" s="196"/>
      <c r="C623" s="222" t="str">
        <f>IF(B623="",C605,B623)</f>
        <v>460</v>
      </c>
      <c r="D623" s="196" t="s">
        <v>286</v>
      </c>
      <c r="E623" s="213" t="s">
        <v>534</v>
      </c>
      <c r="F623" s="196" t="s">
        <v>219</v>
      </c>
      <c r="G623" s="196" t="s">
        <v>164</v>
      </c>
      <c r="H623">
        <f t="shared" si="212"/>
        <v>24</v>
      </c>
    </row>
    <row r="624" spans="1:8" x14ac:dyDescent="0.35">
      <c r="A624" s="196" t="s">
        <v>213</v>
      </c>
      <c r="B624" s="196" t="s">
        <v>417</v>
      </c>
      <c r="C624" s="222" t="str">
        <f t="shared" si="232"/>
        <v>50</v>
      </c>
      <c r="D624" s="196"/>
      <c r="E624" s="204" t="s">
        <v>418</v>
      </c>
      <c r="F624" s="196" t="s">
        <v>254</v>
      </c>
      <c r="G624" s="196" t="s">
        <v>217</v>
      </c>
      <c r="H624">
        <f t="shared" si="212"/>
        <v>7</v>
      </c>
    </row>
    <row r="625" spans="1:8" x14ac:dyDescent="0.35">
      <c r="A625" s="196" t="s">
        <v>213</v>
      </c>
      <c r="B625" s="196" t="s">
        <v>214</v>
      </c>
      <c r="C625" s="222" t="str">
        <f t="shared" si="232"/>
        <v>500</v>
      </c>
      <c r="D625" s="196"/>
      <c r="E625" s="205" t="s">
        <v>215</v>
      </c>
      <c r="F625" s="196" t="s">
        <v>216</v>
      </c>
      <c r="G625" s="196" t="s">
        <v>217</v>
      </c>
      <c r="H625">
        <f t="shared" si="212"/>
        <v>15</v>
      </c>
    </row>
    <row r="626" spans="1:8" x14ac:dyDescent="0.35">
      <c r="A626" s="196"/>
      <c r="B626" s="196"/>
      <c r="C626" s="222" t="str">
        <f t="shared" si="232"/>
        <v>500</v>
      </c>
      <c r="D626" s="196" t="s">
        <v>218</v>
      </c>
      <c r="E626" s="205" t="s">
        <v>734</v>
      </c>
      <c r="F626" s="196" t="s">
        <v>219</v>
      </c>
      <c r="G626" s="196" t="s">
        <v>217</v>
      </c>
      <c r="H626">
        <f t="shared" si="212"/>
        <v>19</v>
      </c>
    </row>
    <row r="627" spans="1:8" x14ac:dyDescent="0.35">
      <c r="A627" s="196"/>
      <c r="B627" s="196"/>
      <c r="C627" s="222" t="str">
        <f>IF(B627="",C625,B627)</f>
        <v>500</v>
      </c>
      <c r="D627" s="196" t="s">
        <v>53</v>
      </c>
      <c r="E627" s="209" t="s">
        <v>604</v>
      </c>
      <c r="F627" s="196" t="s">
        <v>247</v>
      </c>
      <c r="G627" s="196" t="s">
        <v>292</v>
      </c>
      <c r="H627">
        <f t="shared" si="212"/>
        <v>22</v>
      </c>
    </row>
    <row r="628" spans="1:8" x14ac:dyDescent="0.35">
      <c r="A628" s="196"/>
      <c r="B628" s="196"/>
      <c r="C628" s="222" t="str">
        <f t="shared" ref="C628:C639" si="240">IF(B628="",C627,B628)</f>
        <v>500</v>
      </c>
      <c r="D628" s="196" t="s">
        <v>55</v>
      </c>
      <c r="E628" s="209" t="s">
        <v>707</v>
      </c>
      <c r="F628" s="196" t="s">
        <v>247</v>
      </c>
      <c r="G628" s="196" t="s">
        <v>292</v>
      </c>
      <c r="H628">
        <f t="shared" si="212"/>
        <v>28</v>
      </c>
    </row>
    <row r="629" spans="1:8" x14ac:dyDescent="0.35">
      <c r="A629" s="196"/>
      <c r="B629" s="196"/>
      <c r="C629" s="222" t="str">
        <f t="shared" si="240"/>
        <v>500</v>
      </c>
      <c r="D629" s="196" t="s">
        <v>57</v>
      </c>
      <c r="E629" s="209" t="s">
        <v>605</v>
      </c>
      <c r="F629" s="196" t="s">
        <v>247</v>
      </c>
      <c r="G629" s="196" t="s">
        <v>292</v>
      </c>
      <c r="H629">
        <f t="shared" si="212"/>
        <v>19</v>
      </c>
    </row>
    <row r="630" spans="1:8" x14ac:dyDescent="0.35">
      <c r="A630" s="196"/>
      <c r="B630" s="196"/>
      <c r="C630" s="222" t="str">
        <f t="shared" si="240"/>
        <v>500</v>
      </c>
      <c r="D630" s="196" t="s">
        <v>59</v>
      </c>
      <c r="E630" s="209" t="s">
        <v>708</v>
      </c>
      <c r="F630" s="196" t="s">
        <v>247</v>
      </c>
      <c r="G630" s="196" t="s">
        <v>292</v>
      </c>
      <c r="H630">
        <f t="shared" si="212"/>
        <v>30</v>
      </c>
    </row>
    <row r="631" spans="1:8" x14ac:dyDescent="0.35">
      <c r="A631" s="196"/>
      <c r="B631" s="196"/>
      <c r="C631" s="222" t="str">
        <f t="shared" si="240"/>
        <v>500</v>
      </c>
      <c r="D631" s="196" t="s">
        <v>229</v>
      </c>
      <c r="E631" s="209" t="s">
        <v>606</v>
      </c>
      <c r="F631" s="196" t="s">
        <v>247</v>
      </c>
      <c r="G631" s="196" t="s">
        <v>292</v>
      </c>
      <c r="H631">
        <f t="shared" si="212"/>
        <v>22</v>
      </c>
    </row>
    <row r="632" spans="1:8" x14ac:dyDescent="0.35">
      <c r="A632" s="196"/>
      <c r="B632" s="196"/>
      <c r="C632" s="222" t="str">
        <f t="shared" si="240"/>
        <v>500</v>
      </c>
      <c r="D632" s="196" t="s">
        <v>230</v>
      </c>
      <c r="E632" s="209" t="s">
        <v>607</v>
      </c>
      <c r="F632" s="196" t="s">
        <v>247</v>
      </c>
      <c r="G632" s="196" t="s">
        <v>292</v>
      </c>
      <c r="H632">
        <f t="shared" si="212"/>
        <v>23</v>
      </c>
    </row>
    <row r="633" spans="1:8" x14ac:dyDescent="0.35">
      <c r="A633" s="196"/>
      <c r="B633" s="196"/>
      <c r="C633" s="222" t="str">
        <f t="shared" si="240"/>
        <v>500</v>
      </c>
      <c r="D633" s="196" t="s">
        <v>231</v>
      </c>
      <c r="E633" s="209" t="s">
        <v>608</v>
      </c>
      <c r="F633" s="196" t="s">
        <v>247</v>
      </c>
      <c r="G633" s="196" t="s">
        <v>292</v>
      </c>
      <c r="H633">
        <f t="shared" si="212"/>
        <v>25</v>
      </c>
    </row>
    <row r="634" spans="1:8" x14ac:dyDescent="0.35">
      <c r="A634" s="196"/>
      <c r="B634" s="196"/>
      <c r="C634" s="222" t="str">
        <f t="shared" si="240"/>
        <v>500</v>
      </c>
      <c r="D634" s="196" t="s">
        <v>232</v>
      </c>
      <c r="E634" s="209" t="s">
        <v>609</v>
      </c>
      <c r="F634" s="196" t="s">
        <v>247</v>
      </c>
      <c r="G634" s="196" t="s">
        <v>292</v>
      </c>
      <c r="H634">
        <f t="shared" si="212"/>
        <v>25</v>
      </c>
    </row>
    <row r="635" spans="1:8" x14ac:dyDescent="0.35">
      <c r="A635" s="196"/>
      <c r="B635" s="196"/>
      <c r="C635" s="222" t="str">
        <f t="shared" si="240"/>
        <v>500</v>
      </c>
      <c r="D635" s="196" t="s">
        <v>233</v>
      </c>
      <c r="E635" s="209" t="s">
        <v>610</v>
      </c>
      <c r="F635" s="196" t="s">
        <v>247</v>
      </c>
      <c r="G635" s="196" t="s">
        <v>292</v>
      </c>
      <c r="H635">
        <f t="shared" si="212"/>
        <v>23</v>
      </c>
    </row>
    <row r="636" spans="1:8" x14ac:dyDescent="0.35">
      <c r="A636" s="196"/>
      <c r="B636" s="196"/>
      <c r="C636" s="222" t="str">
        <f t="shared" si="240"/>
        <v>500</v>
      </c>
      <c r="D636" s="196" t="s">
        <v>234</v>
      </c>
      <c r="E636" s="209" t="s">
        <v>611</v>
      </c>
      <c r="F636" s="196" t="s">
        <v>247</v>
      </c>
      <c r="G636" s="196" t="s">
        <v>292</v>
      </c>
      <c r="H636">
        <f t="shared" si="212"/>
        <v>25</v>
      </c>
    </row>
    <row r="637" spans="1:8" x14ac:dyDescent="0.35">
      <c r="A637" s="196"/>
      <c r="B637" s="196"/>
      <c r="C637" s="222" t="str">
        <f t="shared" si="240"/>
        <v>500</v>
      </c>
      <c r="D637" s="196" t="s">
        <v>235</v>
      </c>
      <c r="E637" s="209" t="s">
        <v>612</v>
      </c>
      <c r="F637" s="196" t="s">
        <v>247</v>
      </c>
      <c r="G637" s="196" t="s">
        <v>292</v>
      </c>
      <c r="H637">
        <f t="shared" si="212"/>
        <v>24</v>
      </c>
    </row>
    <row r="638" spans="1:8" x14ac:dyDescent="0.35">
      <c r="A638" s="196"/>
      <c r="B638" s="196"/>
      <c r="C638" s="222" t="str">
        <f t="shared" si="240"/>
        <v>500</v>
      </c>
      <c r="D638" s="196" t="s">
        <v>236</v>
      </c>
      <c r="E638" s="209" t="s">
        <v>613</v>
      </c>
      <c r="F638" s="196" t="s">
        <v>247</v>
      </c>
      <c r="G638" s="196" t="s">
        <v>292</v>
      </c>
      <c r="H638">
        <f t="shared" si="212"/>
        <v>20</v>
      </c>
    </row>
    <row r="639" spans="1:8" x14ac:dyDescent="0.35">
      <c r="A639" s="196"/>
      <c r="B639" s="196"/>
      <c r="C639" s="222" t="str">
        <f t="shared" si="240"/>
        <v>500</v>
      </c>
      <c r="D639" s="196" t="s">
        <v>237</v>
      </c>
      <c r="E639" s="209" t="s">
        <v>614</v>
      </c>
      <c r="F639" s="196" t="s">
        <v>247</v>
      </c>
      <c r="G639" s="196" t="s">
        <v>292</v>
      </c>
      <c r="H639">
        <f t="shared" si="212"/>
        <v>22</v>
      </c>
    </row>
    <row r="640" spans="1:8" x14ac:dyDescent="0.35">
      <c r="A640" s="196"/>
      <c r="B640" s="196"/>
      <c r="C640" s="222" t="str">
        <f t="shared" ref="C640" si="241">IF(B640="",C639,B640)</f>
        <v>500</v>
      </c>
      <c r="D640" s="196" t="s">
        <v>238</v>
      </c>
      <c r="E640" s="209" t="s">
        <v>865</v>
      </c>
      <c r="F640" s="196" t="s">
        <v>247</v>
      </c>
      <c r="G640" s="196" t="s">
        <v>292</v>
      </c>
      <c r="H640">
        <f t="shared" ref="H640" si="242">LEN(E640)</f>
        <v>22</v>
      </c>
    </row>
    <row r="641" spans="1:8" x14ac:dyDescent="0.35">
      <c r="A641" s="196"/>
      <c r="B641" s="196"/>
      <c r="C641" s="223" t="str">
        <f t="shared" ref="C641:C642" si="243">IF(B641="",C640,B641)</f>
        <v>500</v>
      </c>
      <c r="D641" s="224" t="s">
        <v>239</v>
      </c>
      <c r="E641" s="227" t="s">
        <v>1135</v>
      </c>
      <c r="F641" s="224" t="s">
        <v>247</v>
      </c>
      <c r="G641" s="224" t="s">
        <v>292</v>
      </c>
      <c r="H641" s="16">
        <f t="shared" ref="H641:H642" si="244">LEN(E641)</f>
        <v>22</v>
      </c>
    </row>
    <row r="642" spans="1:8" x14ac:dyDescent="0.35">
      <c r="A642" s="196"/>
      <c r="B642" s="196"/>
      <c r="C642" s="223" t="str">
        <f t="shared" si="243"/>
        <v>500</v>
      </c>
      <c r="D642" s="224" t="s">
        <v>240</v>
      </c>
      <c r="E642" s="227" t="s">
        <v>1136</v>
      </c>
      <c r="F642" s="224" t="s">
        <v>247</v>
      </c>
      <c r="G642" s="224" t="s">
        <v>292</v>
      </c>
      <c r="H642" s="16">
        <f t="shared" si="244"/>
        <v>21</v>
      </c>
    </row>
    <row r="643" spans="1:8" x14ac:dyDescent="0.35">
      <c r="A643" s="196"/>
      <c r="B643" s="196"/>
      <c r="C643" s="222" t="str">
        <f>IF(B643="",C639,B643)</f>
        <v>500</v>
      </c>
      <c r="D643" s="196" t="s">
        <v>221</v>
      </c>
      <c r="E643" s="205" t="s">
        <v>735</v>
      </c>
      <c r="F643" s="196" t="s">
        <v>219</v>
      </c>
      <c r="G643" s="196" t="s">
        <v>217</v>
      </c>
      <c r="H643">
        <f t="shared" ref="H643:H656" si="245">LEN(E643)</f>
        <v>19</v>
      </c>
    </row>
    <row r="644" spans="1:8" x14ac:dyDescent="0.35">
      <c r="A644" s="196"/>
      <c r="B644" s="196"/>
      <c r="C644" s="222" t="str">
        <f>IF(B644="",C639,B644)</f>
        <v>500</v>
      </c>
      <c r="D644" s="196" t="s">
        <v>272</v>
      </c>
      <c r="E644" s="209" t="s">
        <v>604</v>
      </c>
      <c r="F644" s="196" t="s">
        <v>247</v>
      </c>
      <c r="G644" s="196" t="s">
        <v>292</v>
      </c>
      <c r="H644">
        <f t="shared" si="245"/>
        <v>22</v>
      </c>
    </row>
    <row r="645" spans="1:8" x14ac:dyDescent="0.35">
      <c r="A645" s="196"/>
      <c r="B645" s="196"/>
      <c r="C645" s="222" t="str">
        <f t="shared" ref="C645:C657" si="246">IF(B645="",C644,B645)</f>
        <v>500</v>
      </c>
      <c r="D645" s="196" t="s">
        <v>275</v>
      </c>
      <c r="E645" s="209" t="s">
        <v>707</v>
      </c>
      <c r="F645" s="196" t="s">
        <v>247</v>
      </c>
      <c r="G645" s="196" t="s">
        <v>292</v>
      </c>
      <c r="H645">
        <f t="shared" si="245"/>
        <v>28</v>
      </c>
    </row>
    <row r="646" spans="1:8" x14ac:dyDescent="0.35">
      <c r="A646" s="196"/>
      <c r="B646" s="196"/>
      <c r="C646" s="222" t="str">
        <f t="shared" si="246"/>
        <v>500</v>
      </c>
      <c r="D646" s="196" t="s">
        <v>278</v>
      </c>
      <c r="E646" s="209" t="s">
        <v>605</v>
      </c>
      <c r="F646" s="196" t="s">
        <v>247</v>
      </c>
      <c r="G646" s="196" t="s">
        <v>292</v>
      </c>
      <c r="H646">
        <f t="shared" si="245"/>
        <v>19</v>
      </c>
    </row>
    <row r="647" spans="1:8" x14ac:dyDescent="0.35">
      <c r="A647" s="196"/>
      <c r="B647" s="196"/>
      <c r="C647" s="222" t="str">
        <f t="shared" si="246"/>
        <v>500</v>
      </c>
      <c r="D647" s="196" t="s">
        <v>281</v>
      </c>
      <c r="E647" s="209" t="s">
        <v>708</v>
      </c>
      <c r="F647" s="196" t="s">
        <v>247</v>
      </c>
      <c r="G647" s="196" t="s">
        <v>292</v>
      </c>
      <c r="H647">
        <f t="shared" si="245"/>
        <v>30</v>
      </c>
    </row>
    <row r="648" spans="1:8" x14ac:dyDescent="0.35">
      <c r="A648" s="196"/>
      <c r="B648" s="196"/>
      <c r="C648" s="222" t="str">
        <f t="shared" si="246"/>
        <v>500</v>
      </c>
      <c r="D648" s="196" t="s">
        <v>298</v>
      </c>
      <c r="E648" s="209" t="s">
        <v>606</v>
      </c>
      <c r="F648" s="196" t="s">
        <v>247</v>
      </c>
      <c r="G648" s="196" t="s">
        <v>292</v>
      </c>
      <c r="H648">
        <f t="shared" si="245"/>
        <v>22</v>
      </c>
    </row>
    <row r="649" spans="1:8" x14ac:dyDescent="0.35">
      <c r="A649" s="196"/>
      <c r="B649" s="196"/>
      <c r="C649" s="222" t="str">
        <f t="shared" si="246"/>
        <v>500</v>
      </c>
      <c r="D649" s="196" t="s">
        <v>299</v>
      </c>
      <c r="E649" s="209" t="s">
        <v>607</v>
      </c>
      <c r="F649" s="196" t="s">
        <v>247</v>
      </c>
      <c r="G649" s="196" t="s">
        <v>292</v>
      </c>
      <c r="H649">
        <f t="shared" si="245"/>
        <v>23</v>
      </c>
    </row>
    <row r="650" spans="1:8" x14ac:dyDescent="0.35">
      <c r="A650" s="196"/>
      <c r="B650" s="196"/>
      <c r="C650" s="222" t="str">
        <f t="shared" si="246"/>
        <v>500</v>
      </c>
      <c r="D650" s="196" t="s">
        <v>300</v>
      </c>
      <c r="E650" s="209" t="s">
        <v>608</v>
      </c>
      <c r="F650" s="196" t="s">
        <v>247</v>
      </c>
      <c r="G650" s="196" t="s">
        <v>292</v>
      </c>
      <c r="H650">
        <f t="shared" si="245"/>
        <v>25</v>
      </c>
    </row>
    <row r="651" spans="1:8" x14ac:dyDescent="0.35">
      <c r="A651" s="196"/>
      <c r="B651" s="196"/>
      <c r="C651" s="222" t="str">
        <f t="shared" si="246"/>
        <v>500</v>
      </c>
      <c r="D651" s="196" t="s">
        <v>301</v>
      </c>
      <c r="E651" s="209" t="s">
        <v>609</v>
      </c>
      <c r="F651" s="196" t="s">
        <v>247</v>
      </c>
      <c r="G651" s="196" t="s">
        <v>292</v>
      </c>
      <c r="H651">
        <f t="shared" si="245"/>
        <v>25</v>
      </c>
    </row>
    <row r="652" spans="1:8" x14ac:dyDescent="0.35">
      <c r="A652" s="196"/>
      <c r="B652" s="196"/>
      <c r="C652" s="222" t="str">
        <f t="shared" si="246"/>
        <v>500</v>
      </c>
      <c r="D652" s="196" t="s">
        <v>414</v>
      </c>
      <c r="E652" s="209" t="s">
        <v>610</v>
      </c>
      <c r="F652" s="196" t="s">
        <v>247</v>
      </c>
      <c r="G652" s="196" t="s">
        <v>292</v>
      </c>
      <c r="H652">
        <f t="shared" si="245"/>
        <v>23</v>
      </c>
    </row>
    <row r="653" spans="1:8" x14ac:dyDescent="0.35">
      <c r="A653" s="196"/>
      <c r="B653" s="196"/>
      <c r="C653" s="222" t="str">
        <f t="shared" si="246"/>
        <v>500</v>
      </c>
      <c r="D653" s="196" t="s">
        <v>415</v>
      </c>
      <c r="E653" s="209" t="s">
        <v>611</v>
      </c>
      <c r="F653" s="196" t="s">
        <v>247</v>
      </c>
      <c r="G653" s="196" t="s">
        <v>292</v>
      </c>
      <c r="H653">
        <f t="shared" si="245"/>
        <v>25</v>
      </c>
    </row>
    <row r="654" spans="1:8" x14ac:dyDescent="0.35">
      <c r="A654" s="196"/>
      <c r="B654" s="196"/>
      <c r="C654" s="222" t="str">
        <f t="shared" si="246"/>
        <v>500</v>
      </c>
      <c r="D654" s="196" t="s">
        <v>416</v>
      </c>
      <c r="E654" s="209" t="s">
        <v>612</v>
      </c>
      <c r="F654" s="196" t="s">
        <v>247</v>
      </c>
      <c r="G654" s="196" t="s">
        <v>292</v>
      </c>
      <c r="H654">
        <f t="shared" si="245"/>
        <v>24</v>
      </c>
    </row>
    <row r="655" spans="1:8" x14ac:dyDescent="0.35">
      <c r="A655" s="196"/>
      <c r="B655" s="196"/>
      <c r="C655" s="222" t="str">
        <f t="shared" si="246"/>
        <v>500</v>
      </c>
      <c r="D655" s="196" t="s">
        <v>450</v>
      </c>
      <c r="E655" s="209" t="s">
        <v>613</v>
      </c>
      <c r="F655" s="196" t="s">
        <v>247</v>
      </c>
      <c r="G655" s="196" t="s">
        <v>292</v>
      </c>
      <c r="H655">
        <f t="shared" si="245"/>
        <v>20</v>
      </c>
    </row>
    <row r="656" spans="1:8" x14ac:dyDescent="0.35">
      <c r="A656" s="196"/>
      <c r="B656" s="196"/>
      <c r="C656" s="222" t="str">
        <f t="shared" si="246"/>
        <v>500</v>
      </c>
      <c r="D656" s="196" t="s">
        <v>451</v>
      </c>
      <c r="E656" s="209" t="s">
        <v>614</v>
      </c>
      <c r="F656" s="196" t="s">
        <v>247</v>
      </c>
      <c r="G656" s="196" t="s">
        <v>292</v>
      </c>
      <c r="H656">
        <f t="shared" si="245"/>
        <v>22</v>
      </c>
    </row>
    <row r="657" spans="1:8" x14ac:dyDescent="0.35">
      <c r="A657" s="196"/>
      <c r="B657" s="196"/>
      <c r="C657" s="222" t="str">
        <f t="shared" si="246"/>
        <v>500</v>
      </c>
      <c r="D657" s="196" t="s">
        <v>222</v>
      </c>
      <c r="E657" s="205" t="s">
        <v>736</v>
      </c>
      <c r="F657" s="196" t="s">
        <v>219</v>
      </c>
      <c r="G657" s="196" t="s">
        <v>217</v>
      </c>
      <c r="H657">
        <f t="shared" ref="H657:H670" si="247">LEN(E657)</f>
        <v>22</v>
      </c>
    </row>
    <row r="658" spans="1:8" x14ac:dyDescent="0.35">
      <c r="A658" s="196"/>
      <c r="B658" s="196"/>
      <c r="C658" s="222" t="str">
        <f>IF(B658="",C656,B658)</f>
        <v>500</v>
      </c>
      <c r="D658" s="196" t="s">
        <v>303</v>
      </c>
      <c r="E658" s="209" t="s">
        <v>604</v>
      </c>
      <c r="F658" s="196" t="s">
        <v>247</v>
      </c>
      <c r="G658" s="196" t="s">
        <v>292</v>
      </c>
      <c r="H658">
        <f t="shared" si="247"/>
        <v>22</v>
      </c>
    </row>
    <row r="659" spans="1:8" x14ac:dyDescent="0.35">
      <c r="A659" s="196"/>
      <c r="B659" s="196"/>
      <c r="C659" s="222" t="str">
        <f t="shared" ref="C659:C670" si="248">IF(B659="",C658,B659)</f>
        <v>500</v>
      </c>
      <c r="D659" s="196" t="s">
        <v>304</v>
      </c>
      <c r="E659" s="209" t="s">
        <v>707</v>
      </c>
      <c r="F659" s="196" t="s">
        <v>247</v>
      </c>
      <c r="G659" s="196" t="s">
        <v>292</v>
      </c>
      <c r="H659">
        <f t="shared" si="247"/>
        <v>28</v>
      </c>
    </row>
    <row r="660" spans="1:8" x14ac:dyDescent="0.35">
      <c r="A660" s="196"/>
      <c r="B660" s="196"/>
      <c r="C660" s="222" t="str">
        <f t="shared" si="248"/>
        <v>500</v>
      </c>
      <c r="D660" s="196" t="s">
        <v>305</v>
      </c>
      <c r="E660" s="209" t="s">
        <v>605</v>
      </c>
      <c r="F660" s="196" t="s">
        <v>247</v>
      </c>
      <c r="G660" s="196" t="s">
        <v>292</v>
      </c>
      <c r="H660">
        <f t="shared" si="247"/>
        <v>19</v>
      </c>
    </row>
    <row r="661" spans="1:8" x14ac:dyDescent="0.35">
      <c r="A661" s="196"/>
      <c r="B661" s="196"/>
      <c r="C661" s="222" t="str">
        <f t="shared" si="248"/>
        <v>500</v>
      </c>
      <c r="D661" s="196" t="s">
        <v>306</v>
      </c>
      <c r="E661" s="209" t="s">
        <v>708</v>
      </c>
      <c r="F661" s="196" t="s">
        <v>247</v>
      </c>
      <c r="G661" s="196" t="s">
        <v>292</v>
      </c>
      <c r="H661">
        <f t="shared" si="247"/>
        <v>30</v>
      </c>
    </row>
    <row r="662" spans="1:8" x14ac:dyDescent="0.35">
      <c r="A662" s="196"/>
      <c r="B662" s="196"/>
      <c r="C662" s="222" t="str">
        <f t="shared" si="248"/>
        <v>500</v>
      </c>
      <c r="D662" s="196" t="s">
        <v>307</v>
      </c>
      <c r="E662" s="209" t="s">
        <v>606</v>
      </c>
      <c r="F662" s="196" t="s">
        <v>247</v>
      </c>
      <c r="G662" s="196" t="s">
        <v>292</v>
      </c>
      <c r="H662">
        <f t="shared" si="247"/>
        <v>22</v>
      </c>
    </row>
    <row r="663" spans="1:8" x14ac:dyDescent="0.35">
      <c r="A663" s="196"/>
      <c r="B663" s="196"/>
      <c r="C663" s="222" t="str">
        <f t="shared" si="248"/>
        <v>500</v>
      </c>
      <c r="D663" s="196" t="s">
        <v>308</v>
      </c>
      <c r="E663" s="209" t="s">
        <v>607</v>
      </c>
      <c r="F663" s="196" t="s">
        <v>247</v>
      </c>
      <c r="G663" s="196" t="s">
        <v>292</v>
      </c>
      <c r="H663">
        <f t="shared" si="247"/>
        <v>23</v>
      </c>
    </row>
    <row r="664" spans="1:8" x14ac:dyDescent="0.35">
      <c r="A664" s="196"/>
      <c r="B664" s="196"/>
      <c r="C664" s="222" t="str">
        <f t="shared" si="248"/>
        <v>500</v>
      </c>
      <c r="D664" s="196" t="s">
        <v>309</v>
      </c>
      <c r="E664" s="209" t="s">
        <v>608</v>
      </c>
      <c r="F664" s="196" t="s">
        <v>247</v>
      </c>
      <c r="G664" s="196" t="s">
        <v>292</v>
      </c>
      <c r="H664">
        <f t="shared" si="247"/>
        <v>25</v>
      </c>
    </row>
    <row r="665" spans="1:8" x14ac:dyDescent="0.35">
      <c r="A665" s="196"/>
      <c r="B665" s="196"/>
      <c r="C665" s="222" t="str">
        <f t="shared" si="248"/>
        <v>500</v>
      </c>
      <c r="D665" s="196" t="s">
        <v>310</v>
      </c>
      <c r="E665" s="209" t="s">
        <v>609</v>
      </c>
      <c r="F665" s="196" t="s">
        <v>247</v>
      </c>
      <c r="G665" s="196" t="s">
        <v>292</v>
      </c>
      <c r="H665">
        <f t="shared" si="247"/>
        <v>25</v>
      </c>
    </row>
    <row r="666" spans="1:8" x14ac:dyDescent="0.35">
      <c r="A666" s="196"/>
      <c r="B666" s="196"/>
      <c r="C666" s="222" t="str">
        <f t="shared" si="248"/>
        <v>500</v>
      </c>
      <c r="D666" s="196" t="s">
        <v>311</v>
      </c>
      <c r="E666" s="209" t="s">
        <v>610</v>
      </c>
      <c r="F666" s="196" t="s">
        <v>247</v>
      </c>
      <c r="G666" s="196" t="s">
        <v>292</v>
      </c>
      <c r="H666">
        <f t="shared" si="247"/>
        <v>23</v>
      </c>
    </row>
    <row r="667" spans="1:8" x14ac:dyDescent="0.35">
      <c r="A667" s="196"/>
      <c r="B667" s="196"/>
      <c r="C667" s="222" t="str">
        <f t="shared" si="248"/>
        <v>500</v>
      </c>
      <c r="D667" s="196" t="s">
        <v>312</v>
      </c>
      <c r="E667" s="209" t="s">
        <v>611</v>
      </c>
      <c r="F667" s="196" t="s">
        <v>247</v>
      </c>
      <c r="G667" s="196" t="s">
        <v>292</v>
      </c>
      <c r="H667">
        <f t="shared" si="247"/>
        <v>25</v>
      </c>
    </row>
    <row r="668" spans="1:8" x14ac:dyDescent="0.35">
      <c r="A668" s="196"/>
      <c r="B668" s="196"/>
      <c r="C668" s="222" t="str">
        <f t="shared" si="248"/>
        <v>500</v>
      </c>
      <c r="D668" s="196" t="s">
        <v>313</v>
      </c>
      <c r="E668" s="209" t="s">
        <v>612</v>
      </c>
      <c r="F668" s="196" t="s">
        <v>247</v>
      </c>
      <c r="G668" s="196" t="s">
        <v>292</v>
      </c>
      <c r="H668">
        <f t="shared" si="247"/>
        <v>24</v>
      </c>
    </row>
    <row r="669" spans="1:8" x14ac:dyDescent="0.35">
      <c r="A669" s="196"/>
      <c r="B669" s="196"/>
      <c r="C669" s="222" t="str">
        <f t="shared" si="248"/>
        <v>500</v>
      </c>
      <c r="D669" s="196" t="s">
        <v>452</v>
      </c>
      <c r="E669" s="209" t="s">
        <v>613</v>
      </c>
      <c r="F669" s="196" t="s">
        <v>247</v>
      </c>
      <c r="G669" s="196" t="s">
        <v>292</v>
      </c>
      <c r="H669">
        <f t="shared" si="247"/>
        <v>20</v>
      </c>
    </row>
    <row r="670" spans="1:8" x14ac:dyDescent="0.35">
      <c r="A670" s="196"/>
      <c r="B670" s="196"/>
      <c r="C670" s="222" t="str">
        <f t="shared" si="248"/>
        <v>500</v>
      </c>
      <c r="D670" s="196" t="s">
        <v>453</v>
      </c>
      <c r="E670" s="209" t="s">
        <v>614</v>
      </c>
      <c r="F670" s="196" t="s">
        <v>247</v>
      </c>
      <c r="G670" s="196" t="s">
        <v>292</v>
      </c>
      <c r="H670">
        <f t="shared" si="247"/>
        <v>22</v>
      </c>
    </row>
    <row r="671" spans="1:8" x14ac:dyDescent="0.35">
      <c r="A671" s="196"/>
      <c r="B671" s="196"/>
      <c r="C671" s="222" t="str">
        <f t="shared" ref="C671" si="249">IF(B671="",C670,B671)</f>
        <v>500</v>
      </c>
      <c r="D671" s="196" t="s">
        <v>860</v>
      </c>
      <c r="E671" s="209" t="s">
        <v>865</v>
      </c>
      <c r="F671" s="196" t="s">
        <v>247</v>
      </c>
      <c r="G671" s="196" t="s">
        <v>292</v>
      </c>
      <c r="H671">
        <f t="shared" ref="H671" si="250">LEN(E671)</f>
        <v>22</v>
      </c>
    </row>
    <row r="672" spans="1:8" x14ac:dyDescent="0.35">
      <c r="A672" s="196"/>
      <c r="B672" s="196"/>
      <c r="C672" s="223" t="str">
        <f t="shared" ref="C672:C673" si="251">IF(B672="",C671,B672)</f>
        <v>500</v>
      </c>
      <c r="D672" s="224" t="s">
        <v>948</v>
      </c>
      <c r="E672" s="227" t="s">
        <v>1135</v>
      </c>
      <c r="F672" s="224" t="s">
        <v>247</v>
      </c>
      <c r="G672" s="224" t="s">
        <v>292</v>
      </c>
      <c r="H672" s="16">
        <f t="shared" ref="H672:H673" si="252">LEN(E672)</f>
        <v>22</v>
      </c>
    </row>
    <row r="673" spans="1:8" x14ac:dyDescent="0.35">
      <c r="A673" s="196"/>
      <c r="B673" s="196"/>
      <c r="C673" s="223" t="str">
        <f t="shared" si="251"/>
        <v>500</v>
      </c>
      <c r="D673" s="224" t="s">
        <v>949</v>
      </c>
      <c r="E673" s="227" t="s">
        <v>1136</v>
      </c>
      <c r="F673" s="224" t="s">
        <v>247</v>
      </c>
      <c r="G673" s="224" t="s">
        <v>292</v>
      </c>
      <c r="H673" s="16">
        <f t="shared" si="252"/>
        <v>21</v>
      </c>
    </row>
    <row r="674" spans="1:8" x14ac:dyDescent="0.35">
      <c r="A674" s="196"/>
      <c r="B674" s="196"/>
      <c r="C674" s="222" t="str">
        <f>IF(B674="",C670,B674)</f>
        <v>500</v>
      </c>
      <c r="D674" s="196" t="s">
        <v>223</v>
      </c>
      <c r="E674" s="205" t="s">
        <v>752</v>
      </c>
      <c r="F674" s="196" t="s">
        <v>219</v>
      </c>
      <c r="G674" s="196" t="s">
        <v>217</v>
      </c>
      <c r="H674">
        <f t="shared" ref="H674:H675" si="253">LEN(E674)</f>
        <v>19</v>
      </c>
    </row>
    <row r="675" spans="1:8" x14ac:dyDescent="0.35">
      <c r="A675" s="196"/>
      <c r="B675" s="196"/>
      <c r="C675" s="222" t="str">
        <f>IF(B675="",C670,B675)</f>
        <v>500</v>
      </c>
      <c r="D675" s="196" t="s">
        <v>362</v>
      </c>
      <c r="E675" s="209" t="s">
        <v>753</v>
      </c>
      <c r="F675" s="196" t="s">
        <v>247</v>
      </c>
      <c r="G675" s="196" t="s">
        <v>292</v>
      </c>
      <c r="H675">
        <f t="shared" si="253"/>
        <v>20</v>
      </c>
    </row>
    <row r="676" spans="1:8" x14ac:dyDescent="0.35">
      <c r="A676" s="196"/>
      <c r="B676" s="196"/>
      <c r="C676" s="222" t="str">
        <f>IF(B676="",C674,B676)</f>
        <v>500</v>
      </c>
      <c r="D676" s="196" t="s">
        <v>363</v>
      </c>
      <c r="E676" s="209" t="s">
        <v>754</v>
      </c>
      <c r="F676" s="196" t="s">
        <v>247</v>
      </c>
      <c r="G676" s="196" t="s">
        <v>292</v>
      </c>
      <c r="H676">
        <f t="shared" ref="H676" si="254">LEN(E676)</f>
        <v>20</v>
      </c>
    </row>
    <row r="677" spans="1:8" x14ac:dyDescent="0.35">
      <c r="A677" s="196"/>
      <c r="B677" s="196"/>
      <c r="C677" s="222" t="str">
        <f>IF(B677="",C675,B677)</f>
        <v>500</v>
      </c>
      <c r="D677" s="196" t="s">
        <v>364</v>
      </c>
      <c r="E677" s="209" t="s">
        <v>755</v>
      </c>
      <c r="F677" s="196" t="s">
        <v>247</v>
      </c>
      <c r="G677" s="196" t="s">
        <v>292</v>
      </c>
      <c r="H677">
        <f t="shared" ref="H677:H692" si="255">LEN(E677)</f>
        <v>28</v>
      </c>
    </row>
    <row r="678" spans="1:8" x14ac:dyDescent="0.35">
      <c r="A678" s="196"/>
      <c r="B678" s="196"/>
      <c r="C678" s="223" t="str">
        <f>IF(B678="",C676,B678)</f>
        <v>500</v>
      </c>
      <c r="D678" s="224" t="s">
        <v>420</v>
      </c>
      <c r="E678" s="227" t="s">
        <v>905</v>
      </c>
      <c r="F678" s="224" t="s">
        <v>247</v>
      </c>
      <c r="G678" s="224" t="s">
        <v>292</v>
      </c>
      <c r="H678" s="16">
        <f t="shared" si="255"/>
        <v>19</v>
      </c>
    </row>
    <row r="679" spans="1:8" x14ac:dyDescent="0.35">
      <c r="A679" s="196"/>
      <c r="B679" s="196"/>
      <c r="C679" s="222" t="str">
        <f>IF(B679="",C677,B679)</f>
        <v>500</v>
      </c>
      <c r="D679" s="196" t="s">
        <v>224</v>
      </c>
      <c r="E679" s="205" t="s">
        <v>829</v>
      </c>
      <c r="F679" s="196" t="s">
        <v>219</v>
      </c>
      <c r="G679" s="196" t="s">
        <v>217</v>
      </c>
      <c r="H679">
        <f t="shared" si="255"/>
        <v>33</v>
      </c>
    </row>
    <row r="680" spans="1:8" x14ac:dyDescent="0.35">
      <c r="A680" s="196"/>
      <c r="B680" s="196"/>
      <c r="C680" s="222" t="str">
        <f>IF(B680="",C677,B680)</f>
        <v>500</v>
      </c>
      <c r="D680" s="196" t="s">
        <v>367</v>
      </c>
      <c r="E680" s="209" t="s">
        <v>604</v>
      </c>
      <c r="F680" s="196" t="s">
        <v>247</v>
      </c>
      <c r="G680" s="196" t="s">
        <v>292</v>
      </c>
      <c r="H680">
        <f t="shared" si="255"/>
        <v>22</v>
      </c>
    </row>
    <row r="681" spans="1:8" x14ac:dyDescent="0.35">
      <c r="A681" s="196"/>
      <c r="B681" s="196"/>
      <c r="C681" s="222" t="str">
        <f t="shared" ref="C681:C692" si="256">IF(B681="",C680,B681)</f>
        <v>500</v>
      </c>
      <c r="D681" s="196" t="s">
        <v>371</v>
      </c>
      <c r="E681" s="209" t="s">
        <v>707</v>
      </c>
      <c r="F681" s="196" t="s">
        <v>247</v>
      </c>
      <c r="G681" s="196" t="s">
        <v>292</v>
      </c>
      <c r="H681">
        <f t="shared" si="255"/>
        <v>28</v>
      </c>
    </row>
    <row r="682" spans="1:8" x14ac:dyDescent="0.35">
      <c r="A682" s="196"/>
      <c r="B682" s="196"/>
      <c r="C682" s="222" t="str">
        <f t="shared" si="256"/>
        <v>500</v>
      </c>
      <c r="D682" s="196" t="s">
        <v>421</v>
      </c>
      <c r="E682" s="209" t="s">
        <v>605</v>
      </c>
      <c r="F682" s="196" t="s">
        <v>247</v>
      </c>
      <c r="G682" s="196" t="s">
        <v>292</v>
      </c>
      <c r="H682">
        <f t="shared" si="255"/>
        <v>19</v>
      </c>
    </row>
    <row r="683" spans="1:8" x14ac:dyDescent="0.35">
      <c r="A683" s="196"/>
      <c r="B683" s="196"/>
      <c r="C683" s="222" t="str">
        <f t="shared" si="256"/>
        <v>500</v>
      </c>
      <c r="D683" s="196" t="s">
        <v>422</v>
      </c>
      <c r="E683" s="209" t="s">
        <v>708</v>
      </c>
      <c r="F683" s="196" t="s">
        <v>247</v>
      </c>
      <c r="G683" s="196" t="s">
        <v>292</v>
      </c>
      <c r="H683">
        <f t="shared" si="255"/>
        <v>30</v>
      </c>
    </row>
    <row r="684" spans="1:8" x14ac:dyDescent="0.35">
      <c r="A684" s="196"/>
      <c r="B684" s="196"/>
      <c r="C684" s="222" t="str">
        <f t="shared" si="256"/>
        <v>500</v>
      </c>
      <c r="D684" s="196" t="s">
        <v>423</v>
      </c>
      <c r="E684" s="209" t="s">
        <v>606</v>
      </c>
      <c r="F684" s="196" t="s">
        <v>247</v>
      </c>
      <c r="G684" s="196" t="s">
        <v>292</v>
      </c>
      <c r="H684">
        <f t="shared" si="255"/>
        <v>22</v>
      </c>
    </row>
    <row r="685" spans="1:8" x14ac:dyDescent="0.35">
      <c r="A685" s="196"/>
      <c r="B685" s="196"/>
      <c r="C685" s="222" t="str">
        <f t="shared" si="256"/>
        <v>500</v>
      </c>
      <c r="D685" s="196" t="s">
        <v>471</v>
      </c>
      <c r="E685" s="209" t="s">
        <v>607</v>
      </c>
      <c r="F685" s="196" t="s">
        <v>247</v>
      </c>
      <c r="G685" s="196" t="s">
        <v>292</v>
      </c>
      <c r="H685">
        <f t="shared" si="255"/>
        <v>23</v>
      </c>
    </row>
    <row r="686" spans="1:8" x14ac:dyDescent="0.35">
      <c r="A686" s="196"/>
      <c r="B686" s="196"/>
      <c r="C686" s="222" t="str">
        <f t="shared" si="256"/>
        <v>500</v>
      </c>
      <c r="D686" s="196" t="s">
        <v>472</v>
      </c>
      <c r="E686" s="209" t="s">
        <v>608</v>
      </c>
      <c r="F686" s="196" t="s">
        <v>247</v>
      </c>
      <c r="G686" s="196" t="s">
        <v>292</v>
      </c>
      <c r="H686">
        <f t="shared" si="255"/>
        <v>25</v>
      </c>
    </row>
    <row r="687" spans="1:8" x14ac:dyDescent="0.35">
      <c r="A687" s="196"/>
      <c r="B687" s="196"/>
      <c r="C687" s="222" t="str">
        <f t="shared" si="256"/>
        <v>500</v>
      </c>
      <c r="D687" s="196" t="s">
        <v>473</v>
      </c>
      <c r="E687" s="209" t="s">
        <v>609</v>
      </c>
      <c r="F687" s="196" t="s">
        <v>247</v>
      </c>
      <c r="G687" s="196" t="s">
        <v>292</v>
      </c>
      <c r="H687">
        <f t="shared" si="255"/>
        <v>25</v>
      </c>
    </row>
    <row r="688" spans="1:8" x14ac:dyDescent="0.35">
      <c r="A688" s="196"/>
      <c r="B688" s="196"/>
      <c r="C688" s="222" t="str">
        <f t="shared" si="256"/>
        <v>500</v>
      </c>
      <c r="D688" s="196" t="s">
        <v>474</v>
      </c>
      <c r="E688" s="209" t="s">
        <v>610</v>
      </c>
      <c r="F688" s="196" t="s">
        <v>247</v>
      </c>
      <c r="G688" s="196" t="s">
        <v>292</v>
      </c>
      <c r="H688">
        <f t="shared" si="255"/>
        <v>23</v>
      </c>
    </row>
    <row r="689" spans="1:8" x14ac:dyDescent="0.35">
      <c r="A689" s="196"/>
      <c r="B689" s="196"/>
      <c r="C689" s="222" t="str">
        <f t="shared" si="256"/>
        <v>500</v>
      </c>
      <c r="D689" s="196" t="s">
        <v>720</v>
      </c>
      <c r="E689" s="209" t="s">
        <v>611</v>
      </c>
      <c r="F689" s="196" t="s">
        <v>247</v>
      </c>
      <c r="G689" s="196" t="s">
        <v>292</v>
      </c>
      <c r="H689">
        <f t="shared" si="255"/>
        <v>25</v>
      </c>
    </row>
    <row r="690" spans="1:8" x14ac:dyDescent="0.35">
      <c r="A690" s="196"/>
      <c r="B690" s="196"/>
      <c r="C690" s="222" t="str">
        <f t="shared" si="256"/>
        <v>500</v>
      </c>
      <c r="D690" s="196" t="s">
        <v>721</v>
      </c>
      <c r="E690" s="209" t="s">
        <v>612</v>
      </c>
      <c r="F690" s="196" t="s">
        <v>247</v>
      </c>
      <c r="G690" s="196" t="s">
        <v>292</v>
      </c>
      <c r="H690">
        <f t="shared" si="255"/>
        <v>24</v>
      </c>
    </row>
    <row r="691" spans="1:8" x14ac:dyDescent="0.35">
      <c r="A691" s="196"/>
      <c r="B691" s="196"/>
      <c r="C691" s="222" t="str">
        <f t="shared" si="256"/>
        <v>500</v>
      </c>
      <c r="D691" s="196" t="s">
        <v>722</v>
      </c>
      <c r="E691" s="209" t="s">
        <v>613</v>
      </c>
      <c r="F691" s="196" t="s">
        <v>247</v>
      </c>
      <c r="G691" s="196" t="s">
        <v>292</v>
      </c>
      <c r="H691">
        <f t="shared" si="255"/>
        <v>20</v>
      </c>
    </row>
    <row r="692" spans="1:8" x14ac:dyDescent="0.35">
      <c r="A692" s="196"/>
      <c r="B692" s="196"/>
      <c r="C692" s="222" t="str">
        <f t="shared" si="256"/>
        <v>500</v>
      </c>
      <c r="D692" s="196" t="s">
        <v>723</v>
      </c>
      <c r="E692" s="209" t="s">
        <v>614</v>
      </c>
      <c r="F692" s="196" t="s">
        <v>247</v>
      </c>
      <c r="G692" s="196" t="s">
        <v>292</v>
      </c>
      <c r="H692">
        <f t="shared" si="255"/>
        <v>22</v>
      </c>
    </row>
    <row r="693" spans="1:8" x14ac:dyDescent="0.35">
      <c r="A693" s="196"/>
      <c r="B693" s="196"/>
      <c r="C693" s="222" t="str">
        <f t="shared" ref="C693" si="257">IF(B693="",C692,B693)</f>
        <v>500</v>
      </c>
      <c r="D693" s="196" t="s">
        <v>867</v>
      </c>
      <c r="E693" s="209" t="s">
        <v>865</v>
      </c>
      <c r="F693" s="196" t="s">
        <v>247</v>
      </c>
      <c r="G693" s="196" t="s">
        <v>292</v>
      </c>
      <c r="H693">
        <f t="shared" ref="H693:H707" si="258">LEN(E693)</f>
        <v>22</v>
      </c>
    </row>
    <row r="694" spans="1:8" x14ac:dyDescent="0.35">
      <c r="A694" s="196"/>
      <c r="B694" s="196"/>
      <c r="C694" s="223" t="str">
        <f>IF(B694="",C692,B694)</f>
        <v>500</v>
      </c>
      <c r="D694" s="224" t="s">
        <v>225</v>
      </c>
      <c r="E694" s="253" t="s">
        <v>904</v>
      </c>
      <c r="F694" s="224" t="s">
        <v>219</v>
      </c>
      <c r="G694" s="224" t="s">
        <v>217</v>
      </c>
      <c r="H694" s="16">
        <f t="shared" si="258"/>
        <v>18</v>
      </c>
    </row>
    <row r="695" spans="1:8" x14ac:dyDescent="0.35">
      <c r="A695" s="196"/>
      <c r="B695" s="196"/>
      <c r="C695" s="223" t="str">
        <f>IF(B695="",C692,B695)</f>
        <v>500</v>
      </c>
      <c r="D695" s="224" t="s">
        <v>376</v>
      </c>
      <c r="E695" s="227" t="s">
        <v>604</v>
      </c>
      <c r="F695" s="224" t="s">
        <v>247</v>
      </c>
      <c r="G695" s="224" t="s">
        <v>292</v>
      </c>
      <c r="H695" s="16">
        <f t="shared" si="258"/>
        <v>22</v>
      </c>
    </row>
    <row r="696" spans="1:8" x14ac:dyDescent="0.35">
      <c r="A696" s="196"/>
      <c r="B696" s="196"/>
      <c r="C696" s="223" t="str">
        <f t="shared" ref="C696:C707" si="259">IF(B696="",C695,B696)</f>
        <v>500</v>
      </c>
      <c r="D696" s="224" t="s">
        <v>377</v>
      </c>
      <c r="E696" s="227" t="s">
        <v>707</v>
      </c>
      <c r="F696" s="224" t="s">
        <v>247</v>
      </c>
      <c r="G696" s="224" t="s">
        <v>292</v>
      </c>
      <c r="H696" s="16">
        <f t="shared" si="258"/>
        <v>28</v>
      </c>
    </row>
    <row r="697" spans="1:8" x14ac:dyDescent="0.35">
      <c r="A697" s="196"/>
      <c r="B697" s="196"/>
      <c r="C697" s="223" t="str">
        <f t="shared" si="259"/>
        <v>500</v>
      </c>
      <c r="D697" s="224" t="s">
        <v>378</v>
      </c>
      <c r="E697" s="227" t="s">
        <v>605</v>
      </c>
      <c r="F697" s="224" t="s">
        <v>247</v>
      </c>
      <c r="G697" s="224" t="s">
        <v>292</v>
      </c>
      <c r="H697" s="16">
        <f t="shared" si="258"/>
        <v>19</v>
      </c>
    </row>
    <row r="698" spans="1:8" x14ac:dyDescent="0.35">
      <c r="A698" s="196"/>
      <c r="B698" s="196"/>
      <c r="C698" s="223" t="str">
        <f t="shared" si="259"/>
        <v>500</v>
      </c>
      <c r="D698" s="224" t="s">
        <v>869</v>
      </c>
      <c r="E698" s="227" t="s">
        <v>708</v>
      </c>
      <c r="F698" s="224" t="s">
        <v>247</v>
      </c>
      <c r="G698" s="224" t="s">
        <v>292</v>
      </c>
      <c r="H698" s="16">
        <f t="shared" si="258"/>
        <v>30</v>
      </c>
    </row>
    <row r="699" spans="1:8" x14ac:dyDescent="0.35">
      <c r="A699" s="196"/>
      <c r="B699" s="196"/>
      <c r="C699" s="223" t="str">
        <f t="shared" si="259"/>
        <v>500</v>
      </c>
      <c r="D699" s="224" t="s">
        <v>895</v>
      </c>
      <c r="E699" s="227" t="s">
        <v>606</v>
      </c>
      <c r="F699" s="224" t="s">
        <v>247</v>
      </c>
      <c r="G699" s="224" t="s">
        <v>292</v>
      </c>
      <c r="H699" s="16">
        <f t="shared" si="258"/>
        <v>22</v>
      </c>
    </row>
    <row r="700" spans="1:8" x14ac:dyDescent="0.35">
      <c r="A700" s="196"/>
      <c r="B700" s="196"/>
      <c r="C700" s="223" t="str">
        <f t="shared" si="259"/>
        <v>500</v>
      </c>
      <c r="D700" s="224" t="s">
        <v>896</v>
      </c>
      <c r="E700" s="227" t="s">
        <v>607</v>
      </c>
      <c r="F700" s="224" t="s">
        <v>247</v>
      </c>
      <c r="G700" s="224" t="s">
        <v>292</v>
      </c>
      <c r="H700" s="16">
        <f t="shared" si="258"/>
        <v>23</v>
      </c>
    </row>
    <row r="701" spans="1:8" x14ac:dyDescent="0.35">
      <c r="A701" s="196"/>
      <c r="B701" s="196"/>
      <c r="C701" s="223" t="str">
        <f t="shared" si="259"/>
        <v>500</v>
      </c>
      <c r="D701" s="224" t="s">
        <v>897</v>
      </c>
      <c r="E701" s="227" t="s">
        <v>608</v>
      </c>
      <c r="F701" s="224" t="s">
        <v>247</v>
      </c>
      <c r="G701" s="224" t="s">
        <v>292</v>
      </c>
      <c r="H701" s="16">
        <f t="shared" si="258"/>
        <v>25</v>
      </c>
    </row>
    <row r="702" spans="1:8" x14ac:dyDescent="0.35">
      <c r="A702" s="196"/>
      <c r="B702" s="196"/>
      <c r="C702" s="223" t="str">
        <f t="shared" si="259"/>
        <v>500</v>
      </c>
      <c r="D702" s="224" t="s">
        <v>898</v>
      </c>
      <c r="E702" s="227" t="s">
        <v>609</v>
      </c>
      <c r="F702" s="224" t="s">
        <v>247</v>
      </c>
      <c r="G702" s="224" t="s">
        <v>292</v>
      </c>
      <c r="H702" s="16">
        <f t="shared" si="258"/>
        <v>25</v>
      </c>
    </row>
    <row r="703" spans="1:8" x14ac:dyDescent="0.35">
      <c r="A703" s="196"/>
      <c r="B703" s="196"/>
      <c r="C703" s="223" t="str">
        <f t="shared" si="259"/>
        <v>500</v>
      </c>
      <c r="D703" s="224" t="s">
        <v>899</v>
      </c>
      <c r="E703" s="227" t="s">
        <v>610</v>
      </c>
      <c r="F703" s="224" t="s">
        <v>247</v>
      </c>
      <c r="G703" s="224" t="s">
        <v>292</v>
      </c>
      <c r="H703" s="16">
        <f t="shared" si="258"/>
        <v>23</v>
      </c>
    </row>
    <row r="704" spans="1:8" x14ac:dyDescent="0.35">
      <c r="A704" s="196"/>
      <c r="B704" s="196"/>
      <c r="C704" s="223" t="str">
        <f t="shared" si="259"/>
        <v>500</v>
      </c>
      <c r="D704" s="224" t="s">
        <v>900</v>
      </c>
      <c r="E704" s="227" t="s">
        <v>611</v>
      </c>
      <c r="F704" s="224" t="s">
        <v>247</v>
      </c>
      <c r="G704" s="224" t="s">
        <v>292</v>
      </c>
      <c r="H704" s="16">
        <f t="shared" si="258"/>
        <v>25</v>
      </c>
    </row>
    <row r="705" spans="1:10" x14ac:dyDescent="0.35">
      <c r="A705" s="196"/>
      <c r="B705" s="196"/>
      <c r="C705" s="223" t="str">
        <f t="shared" si="259"/>
        <v>500</v>
      </c>
      <c r="D705" s="224" t="s">
        <v>901</v>
      </c>
      <c r="E705" s="227" t="s">
        <v>612</v>
      </c>
      <c r="F705" s="224" t="s">
        <v>247</v>
      </c>
      <c r="G705" s="224" t="s">
        <v>292</v>
      </c>
      <c r="H705" s="16">
        <f t="shared" si="258"/>
        <v>24</v>
      </c>
    </row>
    <row r="706" spans="1:10" x14ac:dyDescent="0.35">
      <c r="A706" s="196"/>
      <c r="B706" s="196"/>
      <c r="C706" s="223" t="str">
        <f t="shared" si="259"/>
        <v>500</v>
      </c>
      <c r="D706" s="224" t="s">
        <v>902</v>
      </c>
      <c r="E706" s="227" t="s">
        <v>613</v>
      </c>
      <c r="F706" s="224" t="s">
        <v>247</v>
      </c>
      <c r="G706" s="224" t="s">
        <v>292</v>
      </c>
      <c r="H706" s="16">
        <f t="shared" si="258"/>
        <v>20</v>
      </c>
    </row>
    <row r="707" spans="1:10" x14ac:dyDescent="0.35">
      <c r="A707" s="196"/>
      <c r="B707" s="196"/>
      <c r="C707" s="223" t="str">
        <f t="shared" si="259"/>
        <v>500</v>
      </c>
      <c r="D707" s="224" t="s">
        <v>903</v>
      </c>
      <c r="E707" s="227" t="s">
        <v>614</v>
      </c>
      <c r="F707" s="224" t="s">
        <v>247</v>
      </c>
      <c r="G707" s="224" t="s">
        <v>292</v>
      </c>
      <c r="H707" s="16">
        <f t="shared" si="258"/>
        <v>22</v>
      </c>
    </row>
    <row r="708" spans="1:10" x14ac:dyDescent="0.35">
      <c r="A708" s="196"/>
      <c r="B708" s="196"/>
      <c r="C708" s="223" t="str">
        <f t="shared" ref="C708" si="260">IF(B708="",C707,B708)</f>
        <v>500</v>
      </c>
      <c r="D708" s="224" t="s">
        <v>906</v>
      </c>
      <c r="E708" s="227" t="s">
        <v>865</v>
      </c>
      <c r="F708" s="224" t="s">
        <v>247</v>
      </c>
      <c r="G708" s="224" t="s">
        <v>292</v>
      </c>
      <c r="H708" s="16">
        <f t="shared" ref="H708" si="261">LEN(E708)</f>
        <v>22</v>
      </c>
    </row>
    <row r="709" spans="1:10" x14ac:dyDescent="0.35">
      <c r="A709" s="196"/>
      <c r="B709" s="196"/>
      <c r="C709" s="222" t="str">
        <f>IF(B709="",C639,B709)</f>
        <v>500</v>
      </c>
      <c r="D709" s="196">
        <v>99</v>
      </c>
      <c r="E709" s="209" t="s">
        <v>615</v>
      </c>
      <c r="F709" s="196">
        <v>6</v>
      </c>
      <c r="G709" s="196" t="s">
        <v>164</v>
      </c>
      <c r="H709">
        <f t="shared" si="212"/>
        <v>25</v>
      </c>
    </row>
    <row r="710" spans="1:10" x14ac:dyDescent="0.35">
      <c r="A710" s="196"/>
      <c r="B710" s="196" t="s">
        <v>457</v>
      </c>
      <c r="C710" s="222" t="str">
        <f t="shared" ref="C710:C725" si="262">IF(B710="",C709,B710)</f>
        <v>501</v>
      </c>
      <c r="D710" s="196"/>
      <c r="E710" s="205" t="s">
        <v>21</v>
      </c>
      <c r="F710" s="196" t="s">
        <v>216</v>
      </c>
      <c r="G710" s="196" t="s">
        <v>217</v>
      </c>
      <c r="H710">
        <f t="shared" si="212"/>
        <v>21</v>
      </c>
    </row>
    <row r="711" spans="1:10" x14ac:dyDescent="0.35">
      <c r="A711" s="196"/>
      <c r="B711" s="196"/>
      <c r="C711" s="222" t="str">
        <f t="shared" si="262"/>
        <v>501</v>
      </c>
      <c r="D711" s="196" t="s">
        <v>218</v>
      </c>
      <c r="E711" s="208" t="s">
        <v>535</v>
      </c>
      <c r="F711" s="196" t="s">
        <v>219</v>
      </c>
      <c r="G711" s="196" t="s">
        <v>217</v>
      </c>
      <c r="H711">
        <f t="shared" si="212"/>
        <v>30</v>
      </c>
      <c r="J711" s="1" t="s">
        <v>768</v>
      </c>
    </row>
    <row r="712" spans="1:10" x14ac:dyDescent="0.35">
      <c r="A712" s="196"/>
      <c r="B712" s="196"/>
      <c r="C712" s="228" t="str">
        <f t="shared" si="262"/>
        <v>501</v>
      </c>
      <c r="D712" s="229" t="s">
        <v>53</v>
      </c>
      <c r="E712" s="230" t="s">
        <v>799</v>
      </c>
      <c r="F712" s="229">
        <v>7</v>
      </c>
      <c r="G712" s="229" t="s">
        <v>164</v>
      </c>
      <c r="H712" s="22">
        <f t="shared" si="212"/>
        <v>33</v>
      </c>
      <c r="J712" s="1" t="s">
        <v>768</v>
      </c>
    </row>
    <row r="713" spans="1:10" x14ac:dyDescent="0.35">
      <c r="A713" s="196"/>
      <c r="B713" s="196"/>
      <c r="C713" s="228" t="str">
        <f t="shared" si="262"/>
        <v>501</v>
      </c>
      <c r="D713" s="229" t="s">
        <v>55</v>
      </c>
      <c r="E713" s="230" t="s">
        <v>823</v>
      </c>
      <c r="F713" s="229">
        <v>7</v>
      </c>
      <c r="G713" s="229" t="s">
        <v>164</v>
      </c>
      <c r="H713" s="22">
        <f t="shared" si="212"/>
        <v>32</v>
      </c>
      <c r="J713" s="1" t="s">
        <v>768</v>
      </c>
    </row>
    <row r="714" spans="1:10" x14ac:dyDescent="0.35">
      <c r="A714" s="196"/>
      <c r="B714" s="196"/>
      <c r="C714" s="228" t="str">
        <f t="shared" si="262"/>
        <v>501</v>
      </c>
      <c r="D714" s="229" t="s">
        <v>57</v>
      </c>
      <c r="E714" s="230" t="s">
        <v>800</v>
      </c>
      <c r="F714" s="229">
        <v>7</v>
      </c>
      <c r="G714" s="229" t="s">
        <v>164</v>
      </c>
      <c r="H714" s="22">
        <f>LEN(E714)</f>
        <v>35</v>
      </c>
      <c r="J714" s="1" t="s">
        <v>768</v>
      </c>
    </row>
    <row r="715" spans="1:10" x14ac:dyDescent="0.35">
      <c r="A715" s="196"/>
      <c r="B715" s="196"/>
      <c r="C715" s="228" t="str">
        <f t="shared" si="262"/>
        <v>501</v>
      </c>
      <c r="D715" s="229" t="s">
        <v>59</v>
      </c>
      <c r="E715" s="230" t="s">
        <v>824</v>
      </c>
      <c r="F715" s="229">
        <v>7</v>
      </c>
      <c r="G715" s="229" t="s">
        <v>164</v>
      </c>
      <c r="H715" s="22">
        <f>LEN(E715)</f>
        <v>29</v>
      </c>
    </row>
    <row r="716" spans="1:10" x14ac:dyDescent="0.35">
      <c r="A716" s="196"/>
      <c r="B716" s="196"/>
      <c r="C716" s="222" t="str">
        <f t="shared" si="262"/>
        <v>501</v>
      </c>
      <c r="D716" s="196" t="s">
        <v>229</v>
      </c>
      <c r="E716" s="213" t="s">
        <v>547</v>
      </c>
      <c r="F716" s="196">
        <v>7</v>
      </c>
      <c r="G716" s="196" t="s">
        <v>164</v>
      </c>
      <c r="H716">
        <f>LEN(E716)</f>
        <v>12</v>
      </c>
    </row>
    <row r="717" spans="1:10" x14ac:dyDescent="0.35">
      <c r="A717" s="196"/>
      <c r="B717" s="196"/>
      <c r="C717" s="222" t="str">
        <f t="shared" si="262"/>
        <v>501</v>
      </c>
      <c r="D717" s="196" t="s">
        <v>230</v>
      </c>
      <c r="E717" s="213" t="s">
        <v>548</v>
      </c>
      <c r="F717" s="196">
        <v>7</v>
      </c>
      <c r="G717" s="196" t="s">
        <v>164</v>
      </c>
      <c r="H717">
        <f>LEN(E717)</f>
        <v>17</v>
      </c>
    </row>
    <row r="718" spans="1:10" x14ac:dyDescent="0.35">
      <c r="A718" s="196"/>
      <c r="B718" s="196"/>
      <c r="C718" s="222" t="str">
        <f t="shared" si="262"/>
        <v>501</v>
      </c>
      <c r="D718" s="196" t="s">
        <v>231</v>
      </c>
      <c r="E718" s="214" t="s">
        <v>684</v>
      </c>
      <c r="F718" s="196">
        <v>7</v>
      </c>
      <c r="G718" s="196" t="s">
        <v>217</v>
      </c>
      <c r="H718">
        <f t="shared" si="212"/>
        <v>22</v>
      </c>
    </row>
    <row r="719" spans="1:10" x14ac:dyDescent="0.35">
      <c r="A719" s="196"/>
      <c r="B719" s="196"/>
      <c r="C719" s="222" t="str">
        <f t="shared" si="262"/>
        <v>501</v>
      </c>
      <c r="D719" s="196" t="s">
        <v>785</v>
      </c>
      <c r="E719" s="209" t="s">
        <v>491</v>
      </c>
      <c r="F719" s="196" t="s">
        <v>248</v>
      </c>
      <c r="G719" s="196" t="s">
        <v>164</v>
      </c>
      <c r="H719">
        <f t="shared" si="212"/>
        <v>9</v>
      </c>
    </row>
    <row r="720" spans="1:10" x14ac:dyDescent="0.35">
      <c r="A720" s="196"/>
      <c r="B720" s="196"/>
      <c r="C720" s="222" t="str">
        <f t="shared" si="262"/>
        <v>501</v>
      </c>
      <c r="D720" s="196" t="s">
        <v>786</v>
      </c>
      <c r="E720" s="209" t="s">
        <v>490</v>
      </c>
      <c r="F720" s="196" t="s">
        <v>248</v>
      </c>
      <c r="G720" s="196" t="s">
        <v>164</v>
      </c>
      <c r="H720">
        <f t="shared" si="212"/>
        <v>19</v>
      </c>
    </row>
    <row r="721" spans="1:8" x14ac:dyDescent="0.35">
      <c r="A721" s="196"/>
      <c r="B721" s="196"/>
      <c r="C721" s="222" t="str">
        <f t="shared" si="262"/>
        <v>501</v>
      </c>
      <c r="D721" s="196" t="s">
        <v>787</v>
      </c>
      <c r="E721" s="209" t="s">
        <v>594</v>
      </c>
      <c r="F721" s="196" t="s">
        <v>248</v>
      </c>
      <c r="G721" s="196" t="s">
        <v>164</v>
      </c>
      <c r="H721">
        <f t="shared" si="212"/>
        <v>20</v>
      </c>
    </row>
    <row r="722" spans="1:8" x14ac:dyDescent="0.35">
      <c r="A722" s="196"/>
      <c r="B722" s="196"/>
      <c r="C722" s="222" t="str">
        <f t="shared" si="262"/>
        <v>501</v>
      </c>
      <c r="D722" s="196" t="s">
        <v>788</v>
      </c>
      <c r="E722" s="209" t="s">
        <v>595</v>
      </c>
      <c r="F722" s="196" t="s">
        <v>248</v>
      </c>
      <c r="G722" s="196" t="s">
        <v>164</v>
      </c>
      <c r="H722">
        <f t="shared" si="212"/>
        <v>17</v>
      </c>
    </row>
    <row r="723" spans="1:8" x14ac:dyDescent="0.35">
      <c r="A723" s="196"/>
      <c r="B723" s="196"/>
      <c r="C723" s="222" t="str">
        <f t="shared" si="262"/>
        <v>501</v>
      </c>
      <c r="D723" s="196" t="s">
        <v>789</v>
      </c>
      <c r="E723" s="209" t="s">
        <v>596</v>
      </c>
      <c r="F723" s="196" t="s">
        <v>248</v>
      </c>
      <c r="G723" s="196" t="s">
        <v>164</v>
      </c>
      <c r="H723">
        <f t="shared" si="212"/>
        <v>17</v>
      </c>
    </row>
    <row r="724" spans="1:8" x14ac:dyDescent="0.35">
      <c r="A724" s="196"/>
      <c r="B724" s="196"/>
      <c r="C724" s="222" t="str">
        <f t="shared" si="262"/>
        <v>501</v>
      </c>
      <c r="D724" s="196" t="s">
        <v>790</v>
      </c>
      <c r="E724" s="209" t="s">
        <v>597</v>
      </c>
      <c r="F724" s="196" t="s">
        <v>248</v>
      </c>
      <c r="G724" s="196" t="s">
        <v>164</v>
      </c>
      <c r="H724">
        <f t="shared" si="212"/>
        <v>21</v>
      </c>
    </row>
    <row r="725" spans="1:8" x14ac:dyDescent="0.35">
      <c r="A725" s="196"/>
      <c r="B725" s="196"/>
      <c r="C725" s="222" t="str">
        <f t="shared" si="262"/>
        <v>501</v>
      </c>
      <c r="D725" s="196" t="s">
        <v>790</v>
      </c>
      <c r="E725" s="209" t="s">
        <v>738</v>
      </c>
      <c r="F725" s="196" t="s">
        <v>248</v>
      </c>
      <c r="G725" s="196" t="s">
        <v>164</v>
      </c>
      <c r="H725">
        <f t="shared" si="212"/>
        <v>18</v>
      </c>
    </row>
    <row r="726" spans="1:8" x14ac:dyDescent="0.35">
      <c r="A726" s="196"/>
      <c r="B726" s="196"/>
      <c r="C726" s="222" t="str">
        <f>IF(B726="",C718,B726)</f>
        <v>501</v>
      </c>
      <c r="D726" s="196" t="s">
        <v>232</v>
      </c>
      <c r="E726" s="213" t="s">
        <v>536</v>
      </c>
      <c r="F726" s="196">
        <v>7</v>
      </c>
      <c r="G726" s="196" t="s">
        <v>164</v>
      </c>
      <c r="H726">
        <f t="shared" si="212"/>
        <v>21</v>
      </c>
    </row>
    <row r="727" spans="1:8" x14ac:dyDescent="0.35">
      <c r="A727" s="196"/>
      <c r="B727" s="196"/>
      <c r="C727" s="222" t="str">
        <f t="shared" ref="C727:C779" si="263">IF(B727="",C726,B727)</f>
        <v>501</v>
      </c>
      <c r="D727" s="196" t="s">
        <v>233</v>
      </c>
      <c r="E727" s="213" t="s">
        <v>616</v>
      </c>
      <c r="F727" s="196">
        <v>7</v>
      </c>
      <c r="G727" s="196" t="s">
        <v>164</v>
      </c>
      <c r="H727">
        <f t="shared" si="212"/>
        <v>30</v>
      </c>
    </row>
    <row r="728" spans="1:8" x14ac:dyDescent="0.35">
      <c r="A728" s="196"/>
      <c r="B728" s="196"/>
      <c r="C728" s="222" t="str">
        <f t="shared" si="263"/>
        <v>501</v>
      </c>
      <c r="D728" s="196" t="s">
        <v>234</v>
      </c>
      <c r="E728" s="213" t="s">
        <v>537</v>
      </c>
      <c r="F728" s="196">
        <v>7</v>
      </c>
      <c r="G728" s="196" t="s">
        <v>164</v>
      </c>
      <c r="H728">
        <f t="shared" si="212"/>
        <v>8</v>
      </c>
    </row>
    <row r="729" spans="1:8" x14ac:dyDescent="0.35">
      <c r="A729" s="196"/>
      <c r="B729" s="196"/>
      <c r="C729" s="222" t="str">
        <f t="shared" si="263"/>
        <v>501</v>
      </c>
      <c r="D729" s="196" t="s">
        <v>235</v>
      </c>
      <c r="E729" s="213" t="s">
        <v>538</v>
      </c>
      <c r="F729" s="196">
        <v>7</v>
      </c>
      <c r="G729" s="196" t="s">
        <v>164</v>
      </c>
      <c r="H729">
        <f t="shared" si="212"/>
        <v>13</v>
      </c>
    </row>
    <row r="730" spans="1:8" x14ac:dyDescent="0.35">
      <c r="A730" s="196"/>
      <c r="B730" s="196"/>
      <c r="C730" s="222" t="str">
        <f t="shared" si="263"/>
        <v>501</v>
      </c>
      <c r="D730" s="196" t="s">
        <v>236</v>
      </c>
      <c r="E730" s="213" t="s">
        <v>539</v>
      </c>
      <c r="F730" s="196">
        <v>7</v>
      </c>
      <c r="G730" s="196" t="s">
        <v>164</v>
      </c>
      <c r="H730">
        <f t="shared" si="212"/>
        <v>30</v>
      </c>
    </row>
    <row r="731" spans="1:8" x14ac:dyDescent="0.35">
      <c r="A731" s="196"/>
      <c r="B731" s="196"/>
      <c r="C731" s="222" t="str">
        <f t="shared" si="263"/>
        <v>501</v>
      </c>
      <c r="D731" s="196" t="s">
        <v>237</v>
      </c>
      <c r="E731" s="213" t="s">
        <v>617</v>
      </c>
      <c r="F731" s="196">
        <v>7</v>
      </c>
      <c r="G731" s="196" t="s">
        <v>164</v>
      </c>
      <c r="H731">
        <f t="shared" si="212"/>
        <v>22</v>
      </c>
    </row>
    <row r="732" spans="1:8" x14ac:dyDescent="0.35">
      <c r="A732" s="196"/>
      <c r="B732" s="196"/>
      <c r="C732" s="222" t="str">
        <f t="shared" si="263"/>
        <v>501</v>
      </c>
      <c r="D732" s="196" t="s">
        <v>238</v>
      </c>
      <c r="E732" s="213" t="s">
        <v>454</v>
      </c>
      <c r="F732" s="196">
        <v>7</v>
      </c>
      <c r="G732" s="196" t="s">
        <v>164</v>
      </c>
      <c r="H732">
        <f t="shared" si="212"/>
        <v>13</v>
      </c>
    </row>
    <row r="733" spans="1:8" x14ac:dyDescent="0.35">
      <c r="A733" s="196"/>
      <c r="B733" s="196"/>
      <c r="C733" s="222" t="str">
        <f t="shared" si="263"/>
        <v>501</v>
      </c>
      <c r="D733" s="196" t="s">
        <v>239</v>
      </c>
      <c r="E733" s="213" t="s">
        <v>549</v>
      </c>
      <c r="F733" s="196">
        <v>7</v>
      </c>
      <c r="G733" s="196" t="s">
        <v>164</v>
      </c>
      <c r="H733">
        <f>LEN(E733)</f>
        <v>9</v>
      </c>
    </row>
    <row r="734" spans="1:8" x14ac:dyDescent="0.35">
      <c r="A734" s="196"/>
      <c r="B734" s="196"/>
      <c r="C734" s="222" t="str">
        <f t="shared" si="263"/>
        <v>501</v>
      </c>
      <c r="D734" s="196" t="s">
        <v>240</v>
      </c>
      <c r="E734" s="213" t="s">
        <v>618</v>
      </c>
      <c r="F734" s="196">
        <v>7</v>
      </c>
      <c r="G734" s="196" t="s">
        <v>164</v>
      </c>
      <c r="H734">
        <f t="shared" si="212"/>
        <v>24</v>
      </c>
    </row>
    <row r="735" spans="1:8" x14ac:dyDescent="0.35">
      <c r="A735" s="196"/>
      <c r="B735" s="196"/>
      <c r="C735" s="222" t="str">
        <f t="shared" si="263"/>
        <v>501</v>
      </c>
      <c r="D735" s="196" t="s">
        <v>241</v>
      </c>
      <c r="E735" s="213" t="s">
        <v>619</v>
      </c>
      <c r="F735" s="196">
        <v>7</v>
      </c>
      <c r="G735" s="196" t="s">
        <v>217</v>
      </c>
      <c r="H735">
        <f t="shared" si="212"/>
        <v>26</v>
      </c>
    </row>
    <row r="736" spans="1:8" x14ac:dyDescent="0.35">
      <c r="A736" s="196"/>
      <c r="B736" s="196"/>
      <c r="C736" s="222" t="str">
        <f t="shared" si="263"/>
        <v>501</v>
      </c>
      <c r="D736" s="196" t="s">
        <v>801</v>
      </c>
      <c r="E736" s="213" t="s">
        <v>803</v>
      </c>
      <c r="F736" s="196" t="s">
        <v>248</v>
      </c>
      <c r="G736" s="196" t="s">
        <v>164</v>
      </c>
      <c r="H736">
        <f t="shared" si="212"/>
        <v>16</v>
      </c>
    </row>
    <row r="737" spans="1:8" x14ac:dyDescent="0.35">
      <c r="A737" s="196"/>
      <c r="B737" s="196"/>
      <c r="C737" s="222" t="str">
        <f t="shared" si="263"/>
        <v>501</v>
      </c>
      <c r="D737" s="196" t="s">
        <v>802</v>
      </c>
      <c r="E737" s="213" t="s">
        <v>804</v>
      </c>
      <c r="F737" s="196" t="s">
        <v>248</v>
      </c>
      <c r="G737" s="196" t="s">
        <v>164</v>
      </c>
      <c r="H737">
        <f t="shared" si="212"/>
        <v>16</v>
      </c>
    </row>
    <row r="738" spans="1:8" x14ac:dyDescent="0.35">
      <c r="A738" s="196"/>
      <c r="B738" s="196"/>
      <c r="C738" s="223" t="str">
        <f t="shared" si="263"/>
        <v>501</v>
      </c>
      <c r="D738" s="224" t="s">
        <v>242</v>
      </c>
      <c r="E738" s="225" t="s">
        <v>1173</v>
      </c>
      <c r="F738" s="196">
        <v>7</v>
      </c>
      <c r="G738" s="196" t="s">
        <v>164</v>
      </c>
      <c r="H738">
        <f t="shared" si="212"/>
        <v>19</v>
      </c>
    </row>
    <row r="739" spans="1:8" x14ac:dyDescent="0.35">
      <c r="A739" s="196"/>
      <c r="B739" s="196"/>
      <c r="C739" s="223" t="str">
        <f t="shared" si="263"/>
        <v>501</v>
      </c>
      <c r="D739" s="224" t="s">
        <v>243</v>
      </c>
      <c r="E739" s="225" t="s">
        <v>1174</v>
      </c>
      <c r="F739" s="196">
        <v>7</v>
      </c>
      <c r="G739" s="196" t="s">
        <v>164</v>
      </c>
      <c r="H739">
        <f t="shared" si="212"/>
        <v>19</v>
      </c>
    </row>
    <row r="740" spans="1:8" x14ac:dyDescent="0.35">
      <c r="A740" s="196"/>
      <c r="B740" s="196"/>
      <c r="C740" s="222" t="str">
        <f t="shared" si="263"/>
        <v>501</v>
      </c>
      <c r="D740" s="196" t="s">
        <v>244</v>
      </c>
      <c r="E740" s="213" t="s">
        <v>542</v>
      </c>
      <c r="F740" s="196">
        <v>7</v>
      </c>
      <c r="G740" s="196" t="s">
        <v>164</v>
      </c>
      <c r="H740">
        <f t="shared" si="212"/>
        <v>17</v>
      </c>
    </row>
    <row r="741" spans="1:8" x14ac:dyDescent="0.35">
      <c r="A741" s="196"/>
      <c r="B741" s="196"/>
      <c r="C741" s="222" t="str">
        <f t="shared" si="263"/>
        <v>501</v>
      </c>
      <c r="D741" s="196" t="s">
        <v>426</v>
      </c>
      <c r="E741" s="213" t="s">
        <v>543</v>
      </c>
      <c r="F741" s="196">
        <v>7</v>
      </c>
      <c r="G741" s="196" t="s">
        <v>217</v>
      </c>
      <c r="H741">
        <f t="shared" si="212"/>
        <v>18</v>
      </c>
    </row>
    <row r="742" spans="1:8" x14ac:dyDescent="0.35">
      <c r="A742" s="196"/>
      <c r="B742" s="196"/>
      <c r="C742" s="222" t="str">
        <f t="shared" si="263"/>
        <v>501</v>
      </c>
      <c r="D742" s="196" t="s">
        <v>805</v>
      </c>
      <c r="E742" s="213" t="s">
        <v>807</v>
      </c>
      <c r="F742" s="196" t="s">
        <v>248</v>
      </c>
      <c r="G742" s="196" t="s">
        <v>164</v>
      </c>
      <c r="H742">
        <f t="shared" ref="H742:H743" si="264">LEN(E742)</f>
        <v>22</v>
      </c>
    </row>
    <row r="743" spans="1:8" x14ac:dyDescent="0.35">
      <c r="A743" s="196"/>
      <c r="B743" s="196"/>
      <c r="C743" s="222" t="str">
        <f t="shared" si="263"/>
        <v>501</v>
      </c>
      <c r="D743" s="196" t="s">
        <v>806</v>
      </c>
      <c r="E743" s="213" t="s">
        <v>808</v>
      </c>
      <c r="F743" s="196" t="s">
        <v>248</v>
      </c>
      <c r="G743" s="196" t="s">
        <v>164</v>
      </c>
      <c r="H743">
        <f t="shared" si="264"/>
        <v>23</v>
      </c>
    </row>
    <row r="744" spans="1:8" x14ac:dyDescent="0.35">
      <c r="A744" s="196"/>
      <c r="B744" s="196"/>
      <c r="C744" s="222" t="str">
        <f t="shared" si="263"/>
        <v>501</v>
      </c>
      <c r="D744" s="196" t="s">
        <v>463</v>
      </c>
      <c r="E744" s="213" t="s">
        <v>544</v>
      </c>
      <c r="F744" s="196">
        <v>7</v>
      </c>
      <c r="G744" s="196" t="s">
        <v>164</v>
      </c>
      <c r="H744">
        <f t="shared" si="212"/>
        <v>18</v>
      </c>
    </row>
    <row r="745" spans="1:8" x14ac:dyDescent="0.35">
      <c r="A745" s="196"/>
      <c r="B745" s="196"/>
      <c r="C745" s="222" t="str">
        <f t="shared" si="263"/>
        <v>501</v>
      </c>
      <c r="D745" s="196" t="s">
        <v>464</v>
      </c>
      <c r="E745" s="213" t="s">
        <v>620</v>
      </c>
      <c r="F745" s="196">
        <v>7</v>
      </c>
      <c r="G745" s="196" t="s">
        <v>164</v>
      </c>
      <c r="H745">
        <f t="shared" si="212"/>
        <v>24</v>
      </c>
    </row>
    <row r="746" spans="1:8" x14ac:dyDescent="0.35">
      <c r="A746" s="196"/>
      <c r="B746" s="196"/>
      <c r="C746" s="222" t="str">
        <f t="shared" si="263"/>
        <v>501</v>
      </c>
      <c r="D746" s="196" t="s">
        <v>465</v>
      </c>
      <c r="E746" s="213" t="s">
        <v>545</v>
      </c>
      <c r="F746" s="196">
        <v>7</v>
      </c>
      <c r="G746" s="196" t="s">
        <v>164</v>
      </c>
      <c r="H746">
        <f t="shared" si="212"/>
        <v>16</v>
      </c>
    </row>
    <row r="747" spans="1:8" x14ac:dyDescent="0.35">
      <c r="A747" s="196"/>
      <c r="B747" s="196"/>
      <c r="C747" s="222" t="str">
        <f t="shared" si="263"/>
        <v>501</v>
      </c>
      <c r="D747" s="196" t="s">
        <v>466</v>
      </c>
      <c r="E747" s="213" t="s">
        <v>546</v>
      </c>
      <c r="F747" s="196">
        <v>7</v>
      </c>
      <c r="G747" s="196" t="s">
        <v>164</v>
      </c>
      <c r="H747">
        <f t="shared" si="212"/>
        <v>7</v>
      </c>
    </row>
    <row r="748" spans="1:8" x14ac:dyDescent="0.35">
      <c r="A748" s="196"/>
      <c r="B748" s="196"/>
      <c r="C748" s="222" t="str">
        <f t="shared" ref="C748:C752" si="265">IF(B748="",C747,B748)</f>
        <v>501</v>
      </c>
      <c r="D748" s="196" t="s">
        <v>879</v>
      </c>
      <c r="E748" s="213" t="s">
        <v>1101</v>
      </c>
      <c r="F748" s="196">
        <v>7</v>
      </c>
      <c r="G748" s="196" t="s">
        <v>164</v>
      </c>
      <c r="H748">
        <f t="shared" ref="H748:H752" si="266">LEN(E748)</f>
        <v>32</v>
      </c>
    </row>
    <row r="749" spans="1:8" x14ac:dyDescent="0.35">
      <c r="A749" s="196"/>
      <c r="B749" s="196"/>
      <c r="C749" s="223" t="str">
        <f>IF(B749="",C746,B749)</f>
        <v>501</v>
      </c>
      <c r="D749" s="224" t="s">
        <v>1092</v>
      </c>
      <c r="E749" s="225" t="s">
        <v>1181</v>
      </c>
      <c r="F749" s="196">
        <v>7</v>
      </c>
      <c r="G749" s="196" t="s">
        <v>164</v>
      </c>
      <c r="H749">
        <f t="shared" ref="H749:H750" si="267">LEN(E749)</f>
        <v>26</v>
      </c>
    </row>
    <row r="750" spans="1:8" x14ac:dyDescent="0.35">
      <c r="A750" s="196"/>
      <c r="B750" s="196"/>
      <c r="C750" s="223" t="str">
        <f t="shared" ref="C750" si="268">IF(B750="",C749,B750)</f>
        <v>501</v>
      </c>
      <c r="D750" s="224" t="s">
        <v>1113</v>
      </c>
      <c r="E750" s="225" t="s">
        <v>1182</v>
      </c>
      <c r="F750" s="196">
        <v>7</v>
      </c>
      <c r="G750" s="196" t="s">
        <v>164</v>
      </c>
      <c r="H750">
        <f t="shared" si="267"/>
        <v>26</v>
      </c>
    </row>
    <row r="751" spans="1:8" x14ac:dyDescent="0.35">
      <c r="A751" s="196"/>
      <c r="B751" s="196"/>
      <c r="C751" s="223" t="str">
        <f>IF(B751="",C748,B751)</f>
        <v>501</v>
      </c>
      <c r="D751" s="224" t="s">
        <v>1177</v>
      </c>
      <c r="E751" s="225" t="s">
        <v>1175</v>
      </c>
      <c r="F751" s="196">
        <v>7</v>
      </c>
      <c r="G751" s="196" t="s">
        <v>164</v>
      </c>
      <c r="H751">
        <f t="shared" si="266"/>
        <v>21</v>
      </c>
    </row>
    <row r="752" spans="1:8" x14ac:dyDescent="0.35">
      <c r="A752" s="196"/>
      <c r="B752" s="196"/>
      <c r="C752" s="223" t="str">
        <f t="shared" si="265"/>
        <v>501</v>
      </c>
      <c r="D752" s="224" t="s">
        <v>1178</v>
      </c>
      <c r="E752" s="225" t="s">
        <v>1176</v>
      </c>
      <c r="F752" s="196">
        <v>7</v>
      </c>
      <c r="G752" s="196" t="s">
        <v>164</v>
      </c>
      <c r="H752">
        <f t="shared" si="266"/>
        <v>21</v>
      </c>
    </row>
    <row r="753" spans="1:8" x14ac:dyDescent="0.35">
      <c r="A753" s="196"/>
      <c r="B753" s="196"/>
      <c r="C753" s="223" t="str">
        <f t="shared" ref="C753:C754" si="269">IF(B753="",C752,B753)</f>
        <v>501</v>
      </c>
      <c r="D753" s="224" t="s">
        <v>1183</v>
      </c>
      <c r="E753" s="225" t="s">
        <v>1179</v>
      </c>
      <c r="F753" s="196">
        <v>7</v>
      </c>
      <c r="G753" s="196" t="s">
        <v>164</v>
      </c>
      <c r="H753">
        <f t="shared" ref="H753:H754" si="270">LEN(E753)</f>
        <v>19</v>
      </c>
    </row>
    <row r="754" spans="1:8" x14ac:dyDescent="0.35">
      <c r="A754" s="196"/>
      <c r="B754" s="196"/>
      <c r="C754" s="223" t="str">
        <f t="shared" si="269"/>
        <v>501</v>
      </c>
      <c r="D754" s="224" t="s">
        <v>1184</v>
      </c>
      <c r="E754" s="225" t="s">
        <v>1180</v>
      </c>
      <c r="F754" s="196">
        <v>7</v>
      </c>
      <c r="G754" s="196" t="s">
        <v>164</v>
      </c>
      <c r="H754">
        <f t="shared" si="270"/>
        <v>19</v>
      </c>
    </row>
    <row r="755" spans="1:8" x14ac:dyDescent="0.35">
      <c r="A755" s="196"/>
      <c r="B755" s="196"/>
      <c r="C755" s="222" t="str">
        <f>IF(B755="",C747,B755)</f>
        <v>501</v>
      </c>
      <c r="D755" s="196" t="s">
        <v>678</v>
      </c>
      <c r="E755" s="213" t="s">
        <v>709</v>
      </c>
      <c r="F755" s="196">
        <v>7</v>
      </c>
      <c r="G755" s="196" t="s">
        <v>164</v>
      </c>
      <c r="H755">
        <f t="shared" si="212"/>
        <v>29</v>
      </c>
    </row>
    <row r="756" spans="1:8" x14ac:dyDescent="0.35">
      <c r="A756" s="196"/>
      <c r="B756" s="196"/>
      <c r="C756" s="222" t="str">
        <f t="shared" si="263"/>
        <v>501</v>
      </c>
      <c r="D756" s="196" t="s">
        <v>221</v>
      </c>
      <c r="E756" s="196" t="s">
        <v>934</v>
      </c>
      <c r="F756" s="196" t="s">
        <v>219</v>
      </c>
      <c r="G756" s="196" t="s">
        <v>217</v>
      </c>
    </row>
    <row r="757" spans="1:8" x14ac:dyDescent="0.35">
      <c r="A757" s="196"/>
      <c r="B757" s="196"/>
      <c r="C757" s="222" t="str">
        <f t="shared" si="263"/>
        <v>501</v>
      </c>
      <c r="D757" s="196" t="s">
        <v>272</v>
      </c>
      <c r="E757" s="213" t="s">
        <v>493</v>
      </c>
      <c r="F757" s="196" t="s">
        <v>247</v>
      </c>
      <c r="G757" s="196" t="s">
        <v>164</v>
      </c>
    </row>
    <row r="758" spans="1:8" x14ac:dyDescent="0.35">
      <c r="A758" s="196"/>
      <c r="B758" s="196"/>
      <c r="C758" s="222" t="str">
        <f t="shared" si="263"/>
        <v>501</v>
      </c>
      <c r="D758" s="196" t="s">
        <v>275</v>
      </c>
      <c r="E758" s="213" t="s">
        <v>935</v>
      </c>
      <c r="F758" s="196" t="s">
        <v>247</v>
      </c>
      <c r="G758" s="196" t="s">
        <v>164</v>
      </c>
    </row>
    <row r="759" spans="1:8" x14ac:dyDescent="0.35">
      <c r="A759" s="196"/>
      <c r="B759" s="196"/>
      <c r="C759" s="222" t="str">
        <f t="shared" si="263"/>
        <v>501</v>
      </c>
      <c r="D759" s="196" t="s">
        <v>278</v>
      </c>
      <c r="E759" s="213" t="s">
        <v>936</v>
      </c>
      <c r="F759" s="196" t="s">
        <v>247</v>
      </c>
      <c r="G759" s="196" t="s">
        <v>164</v>
      </c>
    </row>
    <row r="760" spans="1:8" x14ac:dyDescent="0.35">
      <c r="A760" s="196"/>
      <c r="B760" s="196"/>
      <c r="C760" s="222" t="str">
        <f t="shared" si="263"/>
        <v>501</v>
      </c>
      <c r="D760" s="196" t="s">
        <v>281</v>
      </c>
      <c r="E760" s="213" t="s">
        <v>748</v>
      </c>
      <c r="F760" s="196" t="s">
        <v>247</v>
      </c>
      <c r="G760" s="196" t="s">
        <v>164</v>
      </c>
    </row>
    <row r="761" spans="1:8" x14ac:dyDescent="0.35">
      <c r="A761" s="196"/>
      <c r="B761" s="196"/>
      <c r="C761" s="222" t="str">
        <f t="shared" si="263"/>
        <v>501</v>
      </c>
      <c r="D761" s="196" t="s">
        <v>298</v>
      </c>
      <c r="E761" s="213" t="s">
        <v>937</v>
      </c>
      <c r="F761" s="196" t="s">
        <v>247</v>
      </c>
      <c r="G761" s="196" t="s">
        <v>164</v>
      </c>
    </row>
    <row r="762" spans="1:8" x14ac:dyDescent="0.35">
      <c r="A762" s="196"/>
      <c r="B762" s="196"/>
      <c r="C762" s="222" t="str">
        <f t="shared" si="263"/>
        <v>501</v>
      </c>
      <c r="D762" s="196" t="s">
        <v>299</v>
      </c>
      <c r="E762" s="213" t="s">
        <v>938</v>
      </c>
      <c r="F762" s="196" t="s">
        <v>247</v>
      </c>
      <c r="G762" s="196" t="s">
        <v>164</v>
      </c>
    </row>
    <row r="763" spans="1:8" x14ac:dyDescent="0.35">
      <c r="A763" s="196"/>
      <c r="B763" s="196"/>
      <c r="C763" s="222" t="str">
        <f t="shared" si="263"/>
        <v>501</v>
      </c>
      <c r="D763" s="196" t="s">
        <v>300</v>
      </c>
      <c r="E763" s="213" t="s">
        <v>939</v>
      </c>
      <c r="F763" s="196" t="s">
        <v>247</v>
      </c>
      <c r="G763" s="196" t="s">
        <v>164</v>
      </c>
    </row>
    <row r="764" spans="1:8" x14ac:dyDescent="0.35">
      <c r="A764" s="196"/>
      <c r="B764" s="196"/>
      <c r="C764" s="222" t="str">
        <f t="shared" si="263"/>
        <v>501</v>
      </c>
      <c r="D764" s="196" t="s">
        <v>301</v>
      </c>
      <c r="E764" s="213" t="s">
        <v>874</v>
      </c>
      <c r="F764" s="196" t="s">
        <v>247</v>
      </c>
      <c r="G764" s="196" t="s">
        <v>164</v>
      </c>
    </row>
    <row r="765" spans="1:8" x14ac:dyDescent="0.35">
      <c r="A765" s="196"/>
      <c r="B765" s="196"/>
      <c r="C765" s="222" t="str">
        <f t="shared" si="263"/>
        <v>501</v>
      </c>
      <c r="D765" s="196" t="s">
        <v>414</v>
      </c>
      <c r="E765" s="213" t="s">
        <v>749</v>
      </c>
      <c r="F765" s="196" t="s">
        <v>247</v>
      </c>
      <c r="G765" s="196" t="s">
        <v>164</v>
      </c>
    </row>
    <row r="766" spans="1:8" x14ac:dyDescent="0.35">
      <c r="A766" s="196"/>
      <c r="B766" s="196"/>
      <c r="C766" s="222" t="str">
        <f t="shared" si="263"/>
        <v>501</v>
      </c>
      <c r="D766" s="196" t="s">
        <v>415</v>
      </c>
      <c r="E766" s="213" t="s">
        <v>940</v>
      </c>
      <c r="F766" s="196" t="s">
        <v>247</v>
      </c>
      <c r="G766" s="196" t="s">
        <v>164</v>
      </c>
    </row>
    <row r="767" spans="1:8" x14ac:dyDescent="0.35">
      <c r="A767" s="196"/>
      <c r="B767" s="196"/>
      <c r="C767" s="222" t="str">
        <f t="shared" si="263"/>
        <v>501</v>
      </c>
      <c r="D767" s="196" t="s">
        <v>416</v>
      </c>
      <c r="E767" s="213" t="s">
        <v>941</v>
      </c>
      <c r="F767" s="196" t="s">
        <v>247</v>
      </c>
      <c r="G767" s="196" t="s">
        <v>164</v>
      </c>
    </row>
    <row r="768" spans="1:8" x14ac:dyDescent="0.35">
      <c r="A768" s="196"/>
      <c r="B768" s="196"/>
      <c r="C768" s="222" t="str">
        <f t="shared" si="263"/>
        <v>501</v>
      </c>
      <c r="D768" s="196" t="s">
        <v>450</v>
      </c>
      <c r="E768" s="213" t="s">
        <v>942</v>
      </c>
      <c r="F768" s="196" t="s">
        <v>247</v>
      </c>
      <c r="G768" s="196" t="s">
        <v>164</v>
      </c>
    </row>
    <row r="769" spans="1:14" x14ac:dyDescent="0.35">
      <c r="A769" s="196"/>
      <c r="B769" s="196"/>
      <c r="C769" s="222" t="str">
        <f t="shared" si="263"/>
        <v>501</v>
      </c>
      <c r="D769" s="196" t="s">
        <v>451</v>
      </c>
      <c r="E769" s="213" t="s">
        <v>943</v>
      </c>
      <c r="F769" s="196" t="s">
        <v>247</v>
      </c>
      <c r="G769" s="196" t="s">
        <v>164</v>
      </c>
    </row>
    <row r="770" spans="1:14" x14ac:dyDescent="0.35">
      <c r="A770" s="196"/>
      <c r="B770" s="196"/>
      <c r="C770" s="222" t="str">
        <f t="shared" si="263"/>
        <v>501</v>
      </c>
      <c r="D770" s="196" t="s">
        <v>930</v>
      </c>
      <c r="E770" s="213" t="s">
        <v>944</v>
      </c>
      <c r="F770" s="196" t="s">
        <v>247</v>
      </c>
      <c r="G770" s="196" t="s">
        <v>164</v>
      </c>
      <c r="K770">
        <v>10101</v>
      </c>
      <c r="L770">
        <v>501</v>
      </c>
      <c r="M770">
        <v>350</v>
      </c>
      <c r="N770" t="s">
        <v>1054</v>
      </c>
    </row>
    <row r="771" spans="1:14" x14ac:dyDescent="0.35">
      <c r="A771" s="196"/>
      <c r="B771" s="196"/>
      <c r="C771" s="222" t="str">
        <f t="shared" si="263"/>
        <v>501</v>
      </c>
      <c r="D771" s="196" t="s">
        <v>931</v>
      </c>
      <c r="E771" s="213" t="s">
        <v>945</v>
      </c>
      <c r="F771" s="196" t="s">
        <v>247</v>
      </c>
      <c r="G771" s="196" t="s">
        <v>164</v>
      </c>
      <c r="K771">
        <v>10101</v>
      </c>
      <c r="L771">
        <v>501</v>
      </c>
      <c r="M771">
        <v>35001</v>
      </c>
      <c r="N771" t="s">
        <v>1055</v>
      </c>
    </row>
    <row r="772" spans="1:14" x14ac:dyDescent="0.35">
      <c r="A772" s="196"/>
      <c r="B772" s="196"/>
      <c r="C772" s="222" t="str">
        <f t="shared" si="263"/>
        <v>501</v>
      </c>
      <c r="D772" s="196" t="s">
        <v>932</v>
      </c>
      <c r="E772" s="213" t="s">
        <v>946</v>
      </c>
      <c r="F772" s="196" t="s">
        <v>247</v>
      </c>
      <c r="G772" s="196" t="s">
        <v>164</v>
      </c>
      <c r="K772">
        <v>10101</v>
      </c>
      <c r="L772">
        <v>501</v>
      </c>
      <c r="M772">
        <v>35002</v>
      </c>
      <c r="N772" t="s">
        <v>1056</v>
      </c>
    </row>
    <row r="773" spans="1:14" x14ac:dyDescent="0.35">
      <c r="A773" s="196"/>
      <c r="B773" s="196"/>
      <c r="C773" s="222" t="str">
        <f t="shared" si="263"/>
        <v>501</v>
      </c>
      <c r="D773" s="196" t="s">
        <v>933</v>
      </c>
      <c r="E773" s="213" t="s">
        <v>947</v>
      </c>
      <c r="F773" s="196" t="s">
        <v>247</v>
      </c>
      <c r="G773" s="196" t="s">
        <v>164</v>
      </c>
      <c r="K773">
        <v>10101</v>
      </c>
      <c r="L773">
        <v>501</v>
      </c>
      <c r="M773">
        <v>35003</v>
      </c>
      <c r="N773" t="s">
        <v>1057</v>
      </c>
    </row>
    <row r="774" spans="1:14" x14ac:dyDescent="0.35">
      <c r="A774" s="196"/>
      <c r="B774" s="196"/>
      <c r="C774" s="223" t="str">
        <f t="shared" ref="C774" si="271">IF(B774="",C773,B774)</f>
        <v>501</v>
      </c>
      <c r="D774" s="224" t="s">
        <v>1078</v>
      </c>
      <c r="E774" s="225" t="s">
        <v>1079</v>
      </c>
      <c r="F774" s="224" t="s">
        <v>247</v>
      </c>
      <c r="G774" s="196" t="s">
        <v>164</v>
      </c>
      <c r="K774">
        <v>10101</v>
      </c>
      <c r="L774">
        <v>501</v>
      </c>
      <c r="M774">
        <v>35003</v>
      </c>
      <c r="N774" t="s">
        <v>1057</v>
      </c>
    </row>
    <row r="775" spans="1:14" x14ac:dyDescent="0.35">
      <c r="A775" s="196"/>
      <c r="B775" s="196"/>
      <c r="C775" s="222" t="str">
        <f>IF(B775="",C773,B775)</f>
        <v>501</v>
      </c>
      <c r="D775" s="196" t="s">
        <v>1059</v>
      </c>
      <c r="E775" s="213" t="s">
        <v>1069</v>
      </c>
      <c r="F775" s="196" t="s">
        <v>247</v>
      </c>
      <c r="G775" s="196" t="s">
        <v>217</v>
      </c>
      <c r="K775">
        <v>10101</v>
      </c>
      <c r="L775">
        <v>501</v>
      </c>
      <c r="M775">
        <v>35004</v>
      </c>
      <c r="N775" t="s">
        <v>1058</v>
      </c>
    </row>
    <row r="776" spans="1:14" x14ac:dyDescent="0.35">
      <c r="A776" s="196"/>
      <c r="B776" s="196"/>
      <c r="C776" s="222" t="str">
        <f t="shared" si="263"/>
        <v>501</v>
      </c>
      <c r="D776" s="196" t="s">
        <v>1060</v>
      </c>
      <c r="E776" s="213" t="s">
        <v>355</v>
      </c>
      <c r="F776" s="196" t="s">
        <v>248</v>
      </c>
      <c r="G776" s="196" t="s">
        <v>164</v>
      </c>
    </row>
    <row r="777" spans="1:14" x14ac:dyDescent="0.35">
      <c r="A777" s="196"/>
      <c r="B777" s="196"/>
      <c r="C777" s="222" t="str">
        <f t="shared" si="263"/>
        <v>501</v>
      </c>
      <c r="D777" s="196" t="s">
        <v>1061</v>
      </c>
      <c r="E777" s="213" t="s">
        <v>1049</v>
      </c>
      <c r="F777" s="196" t="s">
        <v>248</v>
      </c>
      <c r="G777" s="196" t="s">
        <v>164</v>
      </c>
    </row>
    <row r="778" spans="1:14" x14ac:dyDescent="0.35">
      <c r="A778" s="196"/>
      <c r="B778" s="196"/>
      <c r="C778" s="222" t="str">
        <f t="shared" si="263"/>
        <v>501</v>
      </c>
      <c r="D778" s="196" t="s">
        <v>1062</v>
      </c>
      <c r="E778" s="213" t="s">
        <v>1050</v>
      </c>
      <c r="F778" s="196" t="s">
        <v>248</v>
      </c>
      <c r="G778" s="196" t="s">
        <v>164</v>
      </c>
    </row>
    <row r="779" spans="1:14" x14ac:dyDescent="0.35">
      <c r="A779" s="196"/>
      <c r="B779" s="196"/>
      <c r="C779" s="222" t="str">
        <f t="shared" si="263"/>
        <v>501</v>
      </c>
      <c r="D779" s="196" t="s">
        <v>1063</v>
      </c>
      <c r="E779" s="213" t="s">
        <v>1070</v>
      </c>
      <c r="F779" s="196" t="s">
        <v>248</v>
      </c>
      <c r="G779" s="196" t="s">
        <v>164</v>
      </c>
    </row>
    <row r="780" spans="1:14" x14ac:dyDescent="0.35">
      <c r="A780" s="196"/>
      <c r="B780" s="196"/>
      <c r="C780" s="222" t="s">
        <v>457</v>
      </c>
      <c r="D780" s="196" t="s">
        <v>222</v>
      </c>
      <c r="E780" s="196" t="s">
        <v>951</v>
      </c>
      <c r="F780" s="196" t="s">
        <v>219</v>
      </c>
      <c r="G780" s="196" t="s">
        <v>217</v>
      </c>
    </row>
    <row r="781" spans="1:14" x14ac:dyDescent="0.35">
      <c r="A781" s="196"/>
      <c r="B781" s="196"/>
      <c r="C781" s="222" t="s">
        <v>457</v>
      </c>
      <c r="D781" s="196" t="s">
        <v>303</v>
      </c>
      <c r="E781" s="213" t="s">
        <v>493</v>
      </c>
      <c r="F781" s="196" t="s">
        <v>247</v>
      </c>
      <c r="G781" s="196" t="s">
        <v>164</v>
      </c>
    </row>
    <row r="782" spans="1:14" x14ac:dyDescent="0.35">
      <c r="A782" s="196"/>
      <c r="B782" s="196"/>
      <c r="C782" s="222" t="s">
        <v>457</v>
      </c>
      <c r="D782" s="196" t="s">
        <v>304</v>
      </c>
      <c r="E782" s="213" t="s">
        <v>935</v>
      </c>
      <c r="F782" s="196" t="s">
        <v>247</v>
      </c>
      <c r="G782" s="196" t="s">
        <v>164</v>
      </c>
    </row>
    <row r="783" spans="1:14" x14ac:dyDescent="0.35">
      <c r="A783" s="196"/>
      <c r="B783" s="196"/>
      <c r="C783" s="222" t="s">
        <v>457</v>
      </c>
      <c r="D783" s="196" t="s">
        <v>305</v>
      </c>
      <c r="E783" s="213" t="s">
        <v>936</v>
      </c>
      <c r="F783" s="196" t="s">
        <v>247</v>
      </c>
      <c r="G783" s="196" t="s">
        <v>164</v>
      </c>
    </row>
    <row r="784" spans="1:14" x14ac:dyDescent="0.35">
      <c r="A784" s="196"/>
      <c r="B784" s="196"/>
      <c r="C784" s="222" t="s">
        <v>457</v>
      </c>
      <c r="D784" s="196" t="s">
        <v>306</v>
      </c>
      <c r="E784" s="213" t="s">
        <v>748</v>
      </c>
      <c r="F784" s="196" t="s">
        <v>247</v>
      </c>
      <c r="G784" s="196" t="s">
        <v>164</v>
      </c>
    </row>
    <row r="785" spans="1:7" x14ac:dyDescent="0.35">
      <c r="A785" s="196"/>
      <c r="B785" s="196"/>
      <c r="C785" s="222" t="s">
        <v>457</v>
      </c>
      <c r="D785" s="196" t="s">
        <v>307</v>
      </c>
      <c r="E785" s="213" t="s">
        <v>937</v>
      </c>
      <c r="F785" s="196" t="s">
        <v>247</v>
      </c>
      <c r="G785" s="196" t="s">
        <v>164</v>
      </c>
    </row>
    <row r="786" spans="1:7" x14ac:dyDescent="0.35">
      <c r="A786" s="196"/>
      <c r="B786" s="196"/>
      <c r="C786" s="222" t="s">
        <v>457</v>
      </c>
      <c r="D786" s="196" t="s">
        <v>308</v>
      </c>
      <c r="E786" s="213" t="s">
        <v>938</v>
      </c>
      <c r="F786" s="196" t="s">
        <v>247</v>
      </c>
      <c r="G786" s="196" t="s">
        <v>164</v>
      </c>
    </row>
    <row r="787" spans="1:7" x14ac:dyDescent="0.35">
      <c r="A787" s="196"/>
      <c r="B787" s="196"/>
      <c r="C787" s="222" t="s">
        <v>457</v>
      </c>
      <c r="D787" s="196" t="s">
        <v>309</v>
      </c>
      <c r="E787" s="213" t="s">
        <v>939</v>
      </c>
      <c r="F787" s="196" t="s">
        <v>247</v>
      </c>
      <c r="G787" s="196" t="s">
        <v>164</v>
      </c>
    </row>
    <row r="788" spans="1:7" x14ac:dyDescent="0.35">
      <c r="A788" s="196"/>
      <c r="B788" s="196"/>
      <c r="C788" s="222" t="s">
        <v>457</v>
      </c>
      <c r="D788" s="196" t="s">
        <v>310</v>
      </c>
      <c r="E788" s="213" t="s">
        <v>874</v>
      </c>
      <c r="F788" s="196" t="s">
        <v>247</v>
      </c>
      <c r="G788" s="196" t="s">
        <v>164</v>
      </c>
    </row>
    <row r="789" spans="1:7" x14ac:dyDescent="0.35">
      <c r="A789" s="196"/>
      <c r="B789" s="196"/>
      <c r="C789" s="222" t="s">
        <v>457</v>
      </c>
      <c r="D789" s="196" t="s">
        <v>311</v>
      </c>
      <c r="E789" s="213" t="s">
        <v>749</v>
      </c>
      <c r="F789" s="196" t="s">
        <v>247</v>
      </c>
      <c r="G789" s="196" t="s">
        <v>164</v>
      </c>
    </row>
    <row r="790" spans="1:7" x14ac:dyDescent="0.35">
      <c r="A790" s="196"/>
      <c r="B790" s="196"/>
      <c r="C790" s="222" t="s">
        <v>457</v>
      </c>
      <c r="D790" s="196" t="s">
        <v>312</v>
      </c>
      <c r="E790" s="213" t="s">
        <v>940</v>
      </c>
      <c r="F790" s="196" t="s">
        <v>247</v>
      </c>
      <c r="G790" s="196" t="s">
        <v>164</v>
      </c>
    </row>
    <row r="791" spans="1:7" x14ac:dyDescent="0.35">
      <c r="A791" s="196"/>
      <c r="B791" s="196"/>
      <c r="C791" s="222" t="s">
        <v>457</v>
      </c>
      <c r="D791" s="196" t="s">
        <v>313</v>
      </c>
      <c r="E791" s="213" t="s">
        <v>941</v>
      </c>
      <c r="F791" s="196" t="s">
        <v>247</v>
      </c>
      <c r="G791" s="196" t="s">
        <v>164</v>
      </c>
    </row>
    <row r="792" spans="1:7" x14ac:dyDescent="0.35">
      <c r="A792" s="196"/>
      <c r="B792" s="196"/>
      <c r="C792" s="222" t="s">
        <v>457</v>
      </c>
      <c r="D792" s="196" t="s">
        <v>452</v>
      </c>
      <c r="E792" s="213" t="s">
        <v>942</v>
      </c>
      <c r="F792" s="196" t="s">
        <v>247</v>
      </c>
      <c r="G792" s="196" t="s">
        <v>164</v>
      </c>
    </row>
    <row r="793" spans="1:7" x14ac:dyDescent="0.35">
      <c r="A793" s="196"/>
      <c r="B793" s="196"/>
      <c r="C793" s="222" t="s">
        <v>457</v>
      </c>
      <c r="D793" s="196" t="s">
        <v>453</v>
      </c>
      <c r="E793" s="213" t="s">
        <v>943</v>
      </c>
      <c r="F793" s="196" t="s">
        <v>247</v>
      </c>
      <c r="G793" s="196" t="s">
        <v>164</v>
      </c>
    </row>
    <row r="794" spans="1:7" x14ac:dyDescent="0.35">
      <c r="A794" s="196"/>
      <c r="B794" s="196"/>
      <c r="C794" s="222" t="s">
        <v>457</v>
      </c>
      <c r="D794" s="196" t="s">
        <v>860</v>
      </c>
      <c r="E794" s="213" t="s">
        <v>944</v>
      </c>
      <c r="F794" s="196" t="s">
        <v>247</v>
      </c>
      <c r="G794" s="196" t="s">
        <v>164</v>
      </c>
    </row>
    <row r="795" spans="1:7" x14ac:dyDescent="0.35">
      <c r="A795" s="196"/>
      <c r="B795" s="196"/>
      <c r="C795" s="222" t="s">
        <v>457</v>
      </c>
      <c r="D795" s="196" t="s">
        <v>948</v>
      </c>
      <c r="E795" s="213" t="s">
        <v>945</v>
      </c>
      <c r="F795" s="196" t="s">
        <v>247</v>
      </c>
      <c r="G795" s="196" t="s">
        <v>164</v>
      </c>
    </row>
    <row r="796" spans="1:7" x14ac:dyDescent="0.35">
      <c r="A796" s="196"/>
      <c r="B796" s="196"/>
      <c r="C796" s="222" t="s">
        <v>457</v>
      </c>
      <c r="D796" s="196" t="s">
        <v>949</v>
      </c>
      <c r="E796" s="213" t="s">
        <v>946</v>
      </c>
      <c r="F796" s="196" t="s">
        <v>247</v>
      </c>
      <c r="G796" s="196" t="s">
        <v>164</v>
      </c>
    </row>
    <row r="797" spans="1:7" x14ac:dyDescent="0.35">
      <c r="A797" s="196"/>
      <c r="B797" s="196"/>
      <c r="C797" s="222" t="s">
        <v>457</v>
      </c>
      <c r="D797" s="196" t="s">
        <v>950</v>
      </c>
      <c r="E797" s="213" t="s">
        <v>947</v>
      </c>
      <c r="F797" s="196" t="s">
        <v>247</v>
      </c>
      <c r="G797" s="196" t="s">
        <v>164</v>
      </c>
    </row>
    <row r="798" spans="1:7" x14ac:dyDescent="0.35">
      <c r="A798" s="196"/>
      <c r="B798" s="196"/>
      <c r="C798" s="223" t="s">
        <v>457</v>
      </c>
      <c r="D798" s="224" t="s">
        <v>1080</v>
      </c>
      <c r="E798" s="225" t="s">
        <v>1079</v>
      </c>
      <c r="F798" s="224" t="s">
        <v>247</v>
      </c>
      <c r="G798" s="196" t="s">
        <v>164</v>
      </c>
    </row>
    <row r="799" spans="1:7" x14ac:dyDescent="0.35">
      <c r="A799" s="196"/>
      <c r="B799" s="196"/>
      <c r="C799" s="222" t="str">
        <f>IF(B799="",C797,B799)</f>
        <v>501</v>
      </c>
      <c r="D799" s="196" t="s">
        <v>1064</v>
      </c>
      <c r="E799" s="213" t="s">
        <v>1069</v>
      </c>
      <c r="F799" s="196" t="s">
        <v>247</v>
      </c>
      <c r="G799" s="196" t="s">
        <v>217</v>
      </c>
    </row>
    <row r="800" spans="1:7" x14ac:dyDescent="0.35">
      <c r="A800" s="196"/>
      <c r="B800" s="196"/>
      <c r="C800" s="222" t="str">
        <f t="shared" ref="C800:C803" si="272">IF(B800="",C799,B800)</f>
        <v>501</v>
      </c>
      <c r="D800" s="196" t="s">
        <v>1065</v>
      </c>
      <c r="E800" s="213" t="s">
        <v>355</v>
      </c>
      <c r="F800" s="196" t="s">
        <v>248</v>
      </c>
      <c r="G800" s="196" t="s">
        <v>164</v>
      </c>
    </row>
    <row r="801" spans="1:8" x14ac:dyDescent="0.35">
      <c r="A801" s="196"/>
      <c r="B801" s="196"/>
      <c r="C801" s="222" t="str">
        <f t="shared" si="272"/>
        <v>501</v>
      </c>
      <c r="D801" s="196" t="s">
        <v>1066</v>
      </c>
      <c r="E801" s="213" t="s">
        <v>1049</v>
      </c>
      <c r="F801" s="196" t="s">
        <v>248</v>
      </c>
      <c r="G801" s="196" t="s">
        <v>164</v>
      </c>
    </row>
    <row r="802" spans="1:8" x14ac:dyDescent="0.35">
      <c r="A802" s="196"/>
      <c r="B802" s="196"/>
      <c r="C802" s="222" t="str">
        <f t="shared" si="272"/>
        <v>501</v>
      </c>
      <c r="D802" s="196" t="s">
        <v>1067</v>
      </c>
      <c r="E802" s="213" t="s">
        <v>1050</v>
      </c>
      <c r="F802" s="196" t="s">
        <v>248</v>
      </c>
      <c r="G802" s="196" t="s">
        <v>164</v>
      </c>
    </row>
    <row r="803" spans="1:8" ht="14" customHeight="1" x14ac:dyDescent="0.35">
      <c r="A803" s="196"/>
      <c r="B803" s="196"/>
      <c r="C803" s="222" t="str">
        <f t="shared" si="272"/>
        <v>501</v>
      </c>
      <c r="D803" s="196" t="s">
        <v>1068</v>
      </c>
      <c r="E803" s="213" t="s">
        <v>1070</v>
      </c>
      <c r="F803" s="196" t="s">
        <v>248</v>
      </c>
      <c r="G803" s="196" t="s">
        <v>164</v>
      </c>
    </row>
    <row r="804" spans="1:8" x14ac:dyDescent="0.35">
      <c r="A804" s="196"/>
      <c r="B804" s="196" t="s">
        <v>458</v>
      </c>
      <c r="C804" s="222" t="str">
        <f>IF(B804="",#REF!,B804)</f>
        <v>502</v>
      </c>
      <c r="D804" s="196"/>
      <c r="E804" s="205" t="s">
        <v>550</v>
      </c>
      <c r="F804" s="196" t="s">
        <v>216</v>
      </c>
      <c r="G804" s="196" t="s">
        <v>217</v>
      </c>
      <c r="H804">
        <f t="shared" ref="H804:H814" si="273">LEN(E804)</f>
        <v>11</v>
      </c>
    </row>
    <row r="805" spans="1:8" x14ac:dyDescent="0.35">
      <c r="A805" s="196"/>
      <c r="B805" s="196"/>
      <c r="C805" s="222" t="str">
        <f t="shared" ref="C805:C814" si="274">IF(B805="",C804,B805)</f>
        <v>502</v>
      </c>
      <c r="D805" s="196" t="s">
        <v>218</v>
      </c>
      <c r="E805" s="208" t="s">
        <v>551</v>
      </c>
      <c r="F805" s="196" t="s">
        <v>219</v>
      </c>
      <c r="G805" s="196" t="s">
        <v>217</v>
      </c>
      <c r="H805">
        <f t="shared" si="273"/>
        <v>18</v>
      </c>
    </row>
    <row r="806" spans="1:8" x14ac:dyDescent="0.35">
      <c r="A806" s="196"/>
      <c r="B806" s="196"/>
      <c r="C806" s="222" t="str">
        <f t="shared" si="274"/>
        <v>502</v>
      </c>
      <c r="D806" s="196" t="s">
        <v>53</v>
      </c>
      <c r="E806" s="213" t="s">
        <v>552</v>
      </c>
      <c r="F806" s="196">
        <v>7</v>
      </c>
      <c r="G806" s="196" t="s">
        <v>164</v>
      </c>
      <c r="H806">
        <f t="shared" si="273"/>
        <v>29</v>
      </c>
    </row>
    <row r="807" spans="1:8" x14ac:dyDescent="0.35">
      <c r="A807" s="196"/>
      <c r="B807" s="196"/>
      <c r="C807" s="222" t="str">
        <f t="shared" si="274"/>
        <v>502</v>
      </c>
      <c r="D807" s="196" t="s">
        <v>55</v>
      </c>
      <c r="E807" s="213" t="s">
        <v>621</v>
      </c>
      <c r="F807" s="196">
        <v>7</v>
      </c>
      <c r="G807" s="196" t="s">
        <v>164</v>
      </c>
      <c r="H807">
        <f t="shared" si="273"/>
        <v>20</v>
      </c>
    </row>
    <row r="808" spans="1:8" x14ac:dyDescent="0.35">
      <c r="A808" s="196"/>
      <c r="B808" s="196"/>
      <c r="C808" s="222" t="str">
        <f t="shared" si="274"/>
        <v>502</v>
      </c>
      <c r="D808" s="196" t="s">
        <v>57</v>
      </c>
      <c r="E808" s="213" t="s">
        <v>699</v>
      </c>
      <c r="F808" s="196">
        <v>7</v>
      </c>
      <c r="G808" s="196" t="s">
        <v>164</v>
      </c>
      <c r="H808">
        <f t="shared" si="273"/>
        <v>30</v>
      </c>
    </row>
    <row r="809" spans="1:8" x14ac:dyDescent="0.35">
      <c r="A809" s="196"/>
      <c r="B809" s="196"/>
      <c r="C809" s="222" t="str">
        <f t="shared" si="274"/>
        <v>502</v>
      </c>
      <c r="D809" s="196" t="s">
        <v>59</v>
      </c>
      <c r="E809" s="213" t="s">
        <v>622</v>
      </c>
      <c r="F809" s="196">
        <v>7</v>
      </c>
      <c r="G809" s="196" t="s">
        <v>164</v>
      </c>
      <c r="H809">
        <f t="shared" si="273"/>
        <v>28</v>
      </c>
    </row>
    <row r="810" spans="1:8" x14ac:dyDescent="0.35">
      <c r="A810" s="196"/>
      <c r="B810" s="196"/>
      <c r="C810" s="222" t="str">
        <f t="shared" si="274"/>
        <v>502</v>
      </c>
      <c r="D810" s="196" t="s">
        <v>229</v>
      </c>
      <c r="E810" s="213" t="s">
        <v>623</v>
      </c>
      <c r="F810" s="196">
        <v>7</v>
      </c>
      <c r="G810" s="196" t="s">
        <v>164</v>
      </c>
      <c r="H810">
        <f t="shared" si="273"/>
        <v>30</v>
      </c>
    </row>
    <row r="811" spans="1:8" x14ac:dyDescent="0.35">
      <c r="A811" s="196"/>
      <c r="B811" s="196"/>
      <c r="C811" s="222" t="str">
        <f t="shared" si="274"/>
        <v>502</v>
      </c>
      <c r="D811" s="196" t="s">
        <v>230</v>
      </c>
      <c r="E811" s="213" t="s">
        <v>553</v>
      </c>
      <c r="F811" s="196">
        <v>7</v>
      </c>
      <c r="G811" s="196" t="s">
        <v>164</v>
      </c>
      <c r="H811">
        <f t="shared" si="273"/>
        <v>27</v>
      </c>
    </row>
    <row r="812" spans="1:8" x14ac:dyDescent="0.35">
      <c r="A812" s="196"/>
      <c r="B812" s="196"/>
      <c r="C812" s="222" t="str">
        <f t="shared" si="274"/>
        <v>502</v>
      </c>
      <c r="D812" s="196" t="s">
        <v>231</v>
      </c>
      <c r="E812" s="213" t="s">
        <v>698</v>
      </c>
      <c r="F812" s="196">
        <v>7</v>
      </c>
      <c r="G812" s="196" t="s">
        <v>164</v>
      </c>
      <c r="H812">
        <f t="shared" si="273"/>
        <v>28</v>
      </c>
    </row>
    <row r="813" spans="1:8" x14ac:dyDescent="0.35">
      <c r="A813" s="196"/>
      <c r="B813" s="196"/>
      <c r="C813" s="222" t="str">
        <f t="shared" si="274"/>
        <v>502</v>
      </c>
      <c r="D813" s="196" t="s">
        <v>232</v>
      </c>
      <c r="E813" s="213" t="s">
        <v>624</v>
      </c>
      <c r="F813" s="196">
        <v>7</v>
      </c>
      <c r="G813" s="196" t="s">
        <v>164</v>
      </c>
      <c r="H813">
        <f t="shared" si="273"/>
        <v>27</v>
      </c>
    </row>
    <row r="814" spans="1:8" x14ac:dyDescent="0.35">
      <c r="A814" s="196"/>
      <c r="B814" s="196"/>
      <c r="C814" s="222" t="str">
        <f t="shared" si="274"/>
        <v>502</v>
      </c>
      <c r="D814" s="196" t="s">
        <v>233</v>
      </c>
      <c r="E814" s="213" t="s">
        <v>625</v>
      </c>
      <c r="F814" s="196">
        <v>7</v>
      </c>
      <c r="G814" s="196" t="s">
        <v>164</v>
      </c>
      <c r="H814">
        <f t="shared" si="273"/>
        <v>30</v>
      </c>
    </row>
    <row r="815" spans="1:8" x14ac:dyDescent="0.35">
      <c r="A815" s="196" t="s">
        <v>213</v>
      </c>
      <c r="B815" s="196" t="s">
        <v>419</v>
      </c>
      <c r="C815" s="222" t="str">
        <f>IF(B815="",#REF!,B815)</f>
        <v>510</v>
      </c>
      <c r="D815" s="196"/>
      <c r="E815" s="205" t="s">
        <v>245</v>
      </c>
      <c r="F815" s="196" t="s">
        <v>216</v>
      </c>
      <c r="G815" s="196" t="s">
        <v>217</v>
      </c>
      <c r="H815">
        <f t="shared" ref="H815:H893" si="275">LEN(E815)</f>
        <v>30</v>
      </c>
    </row>
    <row r="816" spans="1:8" x14ac:dyDescent="0.35">
      <c r="A816" s="196"/>
      <c r="B816" s="196"/>
      <c r="C816" s="222" t="str">
        <f t="shared" ref="C816:C820" si="276">IF(B816="",C815,B816)</f>
        <v>510</v>
      </c>
      <c r="D816" s="226" t="s">
        <v>218</v>
      </c>
      <c r="E816" s="249" t="s">
        <v>712</v>
      </c>
      <c r="F816" s="226" t="s">
        <v>219</v>
      </c>
      <c r="G816" s="226" t="s">
        <v>164</v>
      </c>
      <c r="H816" s="9">
        <f t="shared" si="275"/>
        <v>18</v>
      </c>
    </row>
    <row r="817" spans="1:10" x14ac:dyDescent="0.35">
      <c r="A817" s="196"/>
      <c r="B817" s="196"/>
      <c r="C817" s="222" t="str">
        <f t="shared" si="276"/>
        <v>510</v>
      </c>
      <c r="D817" s="226" t="s">
        <v>221</v>
      </c>
      <c r="E817" s="249" t="s">
        <v>713</v>
      </c>
      <c r="F817" s="226" t="s">
        <v>219</v>
      </c>
      <c r="G817" s="226" t="s">
        <v>164</v>
      </c>
      <c r="H817" s="9">
        <f t="shared" ref="H817" si="277">LEN(E817)</f>
        <v>21</v>
      </c>
    </row>
    <row r="818" spans="1:10" x14ac:dyDescent="0.35">
      <c r="A818" s="196"/>
      <c r="B818" s="196"/>
      <c r="C818" s="222" t="str">
        <f t="shared" si="276"/>
        <v>510</v>
      </c>
      <c r="D818" s="226" t="s">
        <v>222</v>
      </c>
      <c r="E818" s="249" t="s">
        <v>714</v>
      </c>
      <c r="F818" s="226" t="s">
        <v>219</v>
      </c>
      <c r="G818" s="226" t="s">
        <v>164</v>
      </c>
      <c r="H818" s="9">
        <f t="shared" ref="H818" si="278">LEN(E818)</f>
        <v>21</v>
      </c>
    </row>
    <row r="819" spans="1:10" x14ac:dyDescent="0.35">
      <c r="A819" s="196"/>
      <c r="B819" s="196"/>
      <c r="C819" s="222" t="str">
        <f t="shared" si="276"/>
        <v>510</v>
      </c>
      <c r="D819" s="226" t="s">
        <v>223</v>
      </c>
      <c r="E819" s="249" t="s">
        <v>715</v>
      </c>
      <c r="F819" s="226" t="s">
        <v>219</v>
      </c>
      <c r="G819" s="226" t="s">
        <v>164</v>
      </c>
      <c r="H819" s="9">
        <f t="shared" ref="H819" si="279">LEN(E819)</f>
        <v>19</v>
      </c>
    </row>
    <row r="820" spans="1:10" x14ac:dyDescent="0.35">
      <c r="A820" s="196"/>
      <c r="B820" s="196"/>
      <c r="C820" s="222" t="str">
        <f t="shared" si="276"/>
        <v>510</v>
      </c>
      <c r="D820" s="226" t="s">
        <v>224</v>
      </c>
      <c r="E820" s="249" t="s">
        <v>60</v>
      </c>
      <c r="F820" s="226" t="s">
        <v>219</v>
      </c>
      <c r="G820" s="226" t="s">
        <v>164</v>
      </c>
      <c r="H820" s="9">
        <f t="shared" ref="H820" si="280">LEN(E820)</f>
        <v>20</v>
      </c>
    </row>
    <row r="821" spans="1:10" x14ac:dyDescent="0.35">
      <c r="A821" s="196" t="s">
        <v>213</v>
      </c>
      <c r="B821" s="196" t="s">
        <v>424</v>
      </c>
      <c r="C821" s="222" t="str">
        <f>IF(B821="",#REF!,B821)</f>
        <v>60</v>
      </c>
      <c r="D821" s="196"/>
      <c r="E821" s="204" t="s">
        <v>175</v>
      </c>
      <c r="F821" s="196" t="s">
        <v>254</v>
      </c>
      <c r="G821" s="196" t="s">
        <v>217</v>
      </c>
      <c r="H821">
        <f t="shared" si="275"/>
        <v>19</v>
      </c>
    </row>
    <row r="822" spans="1:10" x14ac:dyDescent="0.35">
      <c r="A822" s="200" t="s">
        <v>213</v>
      </c>
      <c r="B822" s="200" t="s">
        <v>425</v>
      </c>
      <c r="C822" s="222" t="str">
        <f t="shared" ref="C822:C853" si="281">IF(B822="",C821,B822)</f>
        <v>600</v>
      </c>
      <c r="D822" s="203"/>
      <c r="E822" s="206" t="s">
        <v>683</v>
      </c>
      <c r="F822" s="202">
        <v>5</v>
      </c>
      <c r="G822" s="202" t="s">
        <v>217</v>
      </c>
      <c r="H822">
        <f t="shared" si="275"/>
        <v>26</v>
      </c>
      <c r="J822" s="1" t="s">
        <v>768</v>
      </c>
    </row>
    <row r="823" spans="1:10" x14ac:dyDescent="0.35">
      <c r="A823" s="196"/>
      <c r="B823" s="196"/>
      <c r="C823" s="228" t="str">
        <f t="shared" si="281"/>
        <v>600</v>
      </c>
      <c r="D823" s="229" t="s">
        <v>218</v>
      </c>
      <c r="E823" s="231" t="s">
        <v>683</v>
      </c>
      <c r="F823" s="229" t="s">
        <v>219</v>
      </c>
      <c r="G823" s="229" t="s">
        <v>217</v>
      </c>
      <c r="H823" s="22">
        <f t="shared" si="275"/>
        <v>26</v>
      </c>
      <c r="J823" s="1" t="s">
        <v>768</v>
      </c>
    </row>
    <row r="824" spans="1:10" x14ac:dyDescent="0.35">
      <c r="A824" s="196"/>
      <c r="B824" s="196"/>
      <c r="C824" s="228" t="str">
        <f t="shared" si="281"/>
        <v>600</v>
      </c>
      <c r="D824" s="232" t="s">
        <v>53</v>
      </c>
      <c r="E824" s="230" t="s">
        <v>825</v>
      </c>
      <c r="F824" s="232">
        <v>7</v>
      </c>
      <c r="G824" s="232" t="s">
        <v>164</v>
      </c>
      <c r="H824" s="22">
        <f t="shared" si="275"/>
        <v>33</v>
      </c>
      <c r="J824" s="1" t="s">
        <v>768</v>
      </c>
    </row>
    <row r="825" spans="1:10" x14ac:dyDescent="0.35">
      <c r="A825" s="196"/>
      <c r="B825" s="196"/>
      <c r="C825" s="228" t="str">
        <f t="shared" si="281"/>
        <v>600</v>
      </c>
      <c r="D825" s="232" t="s">
        <v>55</v>
      </c>
      <c r="E825" s="230" t="s">
        <v>826</v>
      </c>
      <c r="F825" s="232">
        <v>7</v>
      </c>
      <c r="G825" s="232" t="s">
        <v>164</v>
      </c>
      <c r="H825" s="22">
        <f t="shared" si="275"/>
        <v>29</v>
      </c>
    </row>
    <row r="826" spans="1:10" x14ac:dyDescent="0.35">
      <c r="A826" s="196"/>
      <c r="B826" s="196"/>
      <c r="C826" s="222" t="str">
        <f t="shared" si="281"/>
        <v>600</v>
      </c>
      <c r="D826" s="202" t="s">
        <v>57</v>
      </c>
      <c r="E826" s="213" t="s">
        <v>547</v>
      </c>
      <c r="F826" s="202">
        <v>7</v>
      </c>
      <c r="G826" s="202" t="s">
        <v>164</v>
      </c>
      <c r="H826">
        <f t="shared" si="275"/>
        <v>12</v>
      </c>
    </row>
    <row r="827" spans="1:10" x14ac:dyDescent="0.35">
      <c r="A827" s="196"/>
      <c r="B827" s="196"/>
      <c r="C827" s="222" t="str">
        <f t="shared" si="281"/>
        <v>600</v>
      </c>
      <c r="D827" s="202" t="s">
        <v>59</v>
      </c>
      <c r="E827" s="213" t="s">
        <v>548</v>
      </c>
      <c r="F827" s="202">
        <v>7</v>
      </c>
      <c r="G827" s="202" t="s">
        <v>164</v>
      </c>
      <c r="H827">
        <f t="shared" si="275"/>
        <v>17</v>
      </c>
    </row>
    <row r="828" spans="1:10" x14ac:dyDescent="0.35">
      <c r="A828" s="196"/>
      <c r="B828" s="196"/>
      <c r="C828" s="222" t="str">
        <f t="shared" si="281"/>
        <v>600</v>
      </c>
      <c r="D828" s="202" t="s">
        <v>229</v>
      </c>
      <c r="E828" s="214" t="s">
        <v>684</v>
      </c>
      <c r="F828" s="202">
        <v>7</v>
      </c>
      <c r="G828" s="202" t="s">
        <v>217</v>
      </c>
      <c r="H828">
        <f t="shared" si="275"/>
        <v>22</v>
      </c>
    </row>
    <row r="829" spans="1:10" x14ac:dyDescent="0.35">
      <c r="A829" s="196"/>
      <c r="B829" s="196"/>
      <c r="C829" s="222" t="str">
        <f t="shared" si="281"/>
        <v>600</v>
      </c>
      <c r="D829" s="196" t="s">
        <v>791</v>
      </c>
      <c r="E829" s="209" t="s">
        <v>491</v>
      </c>
      <c r="F829" s="196" t="s">
        <v>248</v>
      </c>
      <c r="G829" s="196" t="s">
        <v>164</v>
      </c>
      <c r="H829">
        <f t="shared" si="275"/>
        <v>9</v>
      </c>
    </row>
    <row r="830" spans="1:10" x14ac:dyDescent="0.35">
      <c r="A830" s="196"/>
      <c r="B830" s="196"/>
      <c r="C830" s="222" t="str">
        <f t="shared" si="281"/>
        <v>600</v>
      </c>
      <c r="D830" s="196" t="s">
        <v>792</v>
      </c>
      <c r="E830" s="209" t="s">
        <v>490</v>
      </c>
      <c r="F830" s="196" t="s">
        <v>248</v>
      </c>
      <c r="G830" s="196" t="s">
        <v>164</v>
      </c>
      <c r="H830">
        <f t="shared" si="275"/>
        <v>19</v>
      </c>
    </row>
    <row r="831" spans="1:10" x14ac:dyDescent="0.35">
      <c r="A831" s="196"/>
      <c r="B831" s="196"/>
      <c r="C831" s="222" t="str">
        <f t="shared" si="281"/>
        <v>600</v>
      </c>
      <c r="D831" s="196" t="s">
        <v>793</v>
      </c>
      <c r="E831" s="209" t="s">
        <v>594</v>
      </c>
      <c r="F831" s="196" t="s">
        <v>248</v>
      </c>
      <c r="G831" s="196" t="s">
        <v>164</v>
      </c>
      <c r="H831">
        <f t="shared" si="275"/>
        <v>20</v>
      </c>
    </row>
    <row r="832" spans="1:10" x14ac:dyDescent="0.35">
      <c r="A832" s="196"/>
      <c r="B832" s="196"/>
      <c r="C832" s="222" t="str">
        <f t="shared" si="281"/>
        <v>600</v>
      </c>
      <c r="D832" s="196" t="s">
        <v>794</v>
      </c>
      <c r="E832" s="209" t="s">
        <v>595</v>
      </c>
      <c r="F832" s="196" t="s">
        <v>248</v>
      </c>
      <c r="G832" s="196" t="s">
        <v>164</v>
      </c>
      <c r="H832">
        <f t="shared" si="275"/>
        <v>17</v>
      </c>
    </row>
    <row r="833" spans="1:8" x14ac:dyDescent="0.35">
      <c r="A833" s="196"/>
      <c r="B833" s="196"/>
      <c r="C833" s="222" t="str">
        <f t="shared" si="281"/>
        <v>600</v>
      </c>
      <c r="D833" s="196" t="s">
        <v>795</v>
      </c>
      <c r="E833" s="209" t="s">
        <v>596</v>
      </c>
      <c r="F833" s="196" t="s">
        <v>248</v>
      </c>
      <c r="G833" s="196" t="s">
        <v>164</v>
      </c>
      <c r="H833">
        <f t="shared" si="275"/>
        <v>17</v>
      </c>
    </row>
    <row r="834" spans="1:8" x14ac:dyDescent="0.35">
      <c r="A834" s="196"/>
      <c r="B834" s="196"/>
      <c r="C834" s="222" t="str">
        <f t="shared" si="281"/>
        <v>600</v>
      </c>
      <c r="D834" s="196" t="s">
        <v>796</v>
      </c>
      <c r="E834" s="209" t="s">
        <v>597</v>
      </c>
      <c r="F834" s="196" t="s">
        <v>248</v>
      </c>
      <c r="G834" s="196" t="s">
        <v>164</v>
      </c>
      <c r="H834">
        <f t="shared" si="275"/>
        <v>21</v>
      </c>
    </row>
    <row r="835" spans="1:8" x14ac:dyDescent="0.35">
      <c r="A835" s="196"/>
      <c r="B835" s="196"/>
      <c r="C835" s="222" t="str">
        <f t="shared" si="281"/>
        <v>600</v>
      </c>
      <c r="D835" s="196" t="s">
        <v>797</v>
      </c>
      <c r="E835" s="209" t="s">
        <v>738</v>
      </c>
      <c r="F835" s="196" t="s">
        <v>248</v>
      </c>
      <c r="G835" s="196" t="s">
        <v>164</v>
      </c>
      <c r="H835">
        <f t="shared" si="275"/>
        <v>18</v>
      </c>
    </row>
    <row r="836" spans="1:8" x14ac:dyDescent="0.35">
      <c r="A836" s="196"/>
      <c r="B836" s="196"/>
      <c r="C836" s="222" t="str">
        <f t="shared" si="281"/>
        <v>600</v>
      </c>
      <c r="D836" s="202" t="s">
        <v>230</v>
      </c>
      <c r="E836" s="213" t="s">
        <v>626</v>
      </c>
      <c r="F836" s="202">
        <v>7</v>
      </c>
      <c r="G836" s="202" t="s">
        <v>164</v>
      </c>
      <c r="H836">
        <f t="shared" si="275"/>
        <v>22</v>
      </c>
    </row>
    <row r="837" spans="1:8" x14ac:dyDescent="0.35">
      <c r="A837" s="196"/>
      <c r="B837" s="196"/>
      <c r="C837" s="222" t="str">
        <f t="shared" si="281"/>
        <v>600</v>
      </c>
      <c r="D837" s="202" t="s">
        <v>231</v>
      </c>
      <c r="E837" s="213" t="s">
        <v>554</v>
      </c>
      <c r="F837" s="202">
        <v>7</v>
      </c>
      <c r="G837" s="202" t="s">
        <v>164</v>
      </c>
      <c r="H837">
        <f t="shared" si="275"/>
        <v>25</v>
      </c>
    </row>
    <row r="838" spans="1:8" x14ac:dyDescent="0.35">
      <c r="A838" s="196"/>
      <c r="B838" s="196"/>
      <c r="C838" s="222" t="str">
        <f t="shared" si="281"/>
        <v>600</v>
      </c>
      <c r="D838" s="202" t="s">
        <v>232</v>
      </c>
      <c r="E838" s="213" t="s">
        <v>537</v>
      </c>
      <c r="F838" s="202">
        <v>7</v>
      </c>
      <c r="G838" s="202" t="s">
        <v>164</v>
      </c>
      <c r="H838">
        <f t="shared" si="275"/>
        <v>8</v>
      </c>
    </row>
    <row r="839" spans="1:8" x14ac:dyDescent="0.35">
      <c r="A839" s="196"/>
      <c r="B839" s="196"/>
      <c r="C839" s="222" t="str">
        <f t="shared" si="281"/>
        <v>600</v>
      </c>
      <c r="D839" s="202" t="s">
        <v>233</v>
      </c>
      <c r="E839" s="213" t="s">
        <v>538</v>
      </c>
      <c r="F839" s="202">
        <v>7</v>
      </c>
      <c r="G839" s="202" t="s">
        <v>164</v>
      </c>
      <c r="H839">
        <f t="shared" si="275"/>
        <v>13</v>
      </c>
    </row>
    <row r="840" spans="1:8" x14ac:dyDescent="0.35">
      <c r="A840" s="196"/>
      <c r="B840" s="196"/>
      <c r="C840" s="222" t="str">
        <f t="shared" si="281"/>
        <v>600</v>
      </c>
      <c r="D840" s="202" t="s">
        <v>234</v>
      </c>
      <c r="E840" s="213" t="s">
        <v>555</v>
      </c>
      <c r="F840" s="202">
        <v>7</v>
      </c>
      <c r="G840" s="202" t="s">
        <v>164</v>
      </c>
      <c r="H840">
        <f t="shared" si="275"/>
        <v>15</v>
      </c>
    </row>
    <row r="841" spans="1:8" x14ac:dyDescent="0.35">
      <c r="A841" s="196"/>
      <c r="B841" s="196"/>
      <c r="C841" s="222" t="str">
        <f t="shared" si="281"/>
        <v>600</v>
      </c>
      <c r="D841" s="202" t="s">
        <v>235</v>
      </c>
      <c r="E841" s="213" t="s">
        <v>627</v>
      </c>
      <c r="F841" s="202">
        <v>7</v>
      </c>
      <c r="G841" s="202" t="s">
        <v>164</v>
      </c>
      <c r="H841">
        <f t="shared" si="275"/>
        <v>15</v>
      </c>
    </row>
    <row r="842" spans="1:8" x14ac:dyDescent="0.35">
      <c r="A842" s="196"/>
      <c r="B842" s="196"/>
      <c r="C842" s="222" t="str">
        <f t="shared" si="281"/>
        <v>600</v>
      </c>
      <c r="D842" s="202" t="s">
        <v>236</v>
      </c>
      <c r="E842" s="213" t="s">
        <v>454</v>
      </c>
      <c r="F842" s="202">
        <v>7</v>
      </c>
      <c r="G842" s="202" t="s">
        <v>164</v>
      </c>
      <c r="H842">
        <f t="shared" si="275"/>
        <v>13</v>
      </c>
    </row>
    <row r="843" spans="1:8" x14ac:dyDescent="0.35">
      <c r="A843" s="196"/>
      <c r="B843" s="196"/>
      <c r="C843" s="222" t="str">
        <f t="shared" si="281"/>
        <v>600</v>
      </c>
      <c r="D843" s="202" t="s">
        <v>237</v>
      </c>
      <c r="E843" s="213" t="s">
        <v>549</v>
      </c>
      <c r="F843" s="202">
        <v>7</v>
      </c>
      <c r="G843" s="202" t="s">
        <v>164</v>
      </c>
      <c r="H843">
        <f t="shared" si="275"/>
        <v>9</v>
      </c>
    </row>
    <row r="844" spans="1:8" x14ac:dyDescent="0.35">
      <c r="A844" s="196"/>
      <c r="B844" s="196"/>
      <c r="C844" s="222" t="str">
        <f t="shared" si="281"/>
        <v>600</v>
      </c>
      <c r="D844" s="202" t="s">
        <v>238</v>
      </c>
      <c r="E844" s="213" t="s">
        <v>618</v>
      </c>
      <c r="F844" s="202">
        <v>7</v>
      </c>
      <c r="G844" s="202" t="s">
        <v>164</v>
      </c>
      <c r="H844">
        <f t="shared" si="275"/>
        <v>24</v>
      </c>
    </row>
    <row r="845" spans="1:8" x14ac:dyDescent="0.35">
      <c r="A845" s="196"/>
      <c r="B845" s="196"/>
      <c r="C845" s="222" t="str">
        <f t="shared" si="281"/>
        <v>600</v>
      </c>
      <c r="D845" s="202" t="s">
        <v>239</v>
      </c>
      <c r="E845" s="213" t="s">
        <v>619</v>
      </c>
      <c r="F845" s="202">
        <v>7</v>
      </c>
      <c r="G845" s="202" t="s">
        <v>217</v>
      </c>
      <c r="H845">
        <f t="shared" si="275"/>
        <v>26</v>
      </c>
    </row>
    <row r="846" spans="1:8" x14ac:dyDescent="0.35">
      <c r="A846" s="196"/>
      <c r="B846" s="196"/>
      <c r="C846" s="222" t="str">
        <f t="shared" si="281"/>
        <v>600</v>
      </c>
      <c r="D846" s="196" t="s">
        <v>809</v>
      </c>
      <c r="E846" s="213" t="s">
        <v>803</v>
      </c>
      <c r="F846" s="196" t="s">
        <v>248</v>
      </c>
      <c r="G846" s="196" t="s">
        <v>164</v>
      </c>
      <c r="H846">
        <f t="shared" si="275"/>
        <v>16</v>
      </c>
    </row>
    <row r="847" spans="1:8" x14ac:dyDescent="0.35">
      <c r="A847" s="196"/>
      <c r="B847" s="196"/>
      <c r="C847" s="222" t="str">
        <f t="shared" si="281"/>
        <v>600</v>
      </c>
      <c r="D847" s="196" t="s">
        <v>810</v>
      </c>
      <c r="E847" s="213" t="s">
        <v>804</v>
      </c>
      <c r="F847" s="196" t="s">
        <v>248</v>
      </c>
      <c r="G847" s="196" t="s">
        <v>164</v>
      </c>
      <c r="H847">
        <f t="shared" si="275"/>
        <v>16</v>
      </c>
    </row>
    <row r="848" spans="1:8" x14ac:dyDescent="0.35">
      <c r="A848" s="196"/>
      <c r="B848" s="196"/>
      <c r="C848" s="222" t="str">
        <f t="shared" si="281"/>
        <v>600</v>
      </c>
      <c r="D848" s="202" t="s">
        <v>240</v>
      </c>
      <c r="E848" s="213" t="s">
        <v>556</v>
      </c>
      <c r="F848" s="202">
        <v>7</v>
      </c>
      <c r="G848" s="202" t="s">
        <v>164</v>
      </c>
      <c r="H848">
        <f t="shared" si="275"/>
        <v>24</v>
      </c>
    </row>
    <row r="849" spans="1:8" x14ac:dyDescent="0.35">
      <c r="A849" s="196"/>
      <c r="B849" s="196"/>
      <c r="C849" s="222" t="str">
        <f t="shared" si="281"/>
        <v>600</v>
      </c>
      <c r="D849" s="202" t="s">
        <v>241</v>
      </c>
      <c r="E849" s="213" t="s">
        <v>557</v>
      </c>
      <c r="F849" s="202">
        <v>7</v>
      </c>
      <c r="G849" s="202" t="s">
        <v>164</v>
      </c>
      <c r="H849">
        <f t="shared" si="275"/>
        <v>24</v>
      </c>
    </row>
    <row r="850" spans="1:8" x14ac:dyDescent="0.35">
      <c r="A850" s="196"/>
      <c r="B850" s="196"/>
      <c r="C850" s="222" t="str">
        <f t="shared" si="281"/>
        <v>600</v>
      </c>
      <c r="D850" s="202" t="s">
        <v>242</v>
      </c>
      <c r="E850" s="213" t="s">
        <v>542</v>
      </c>
      <c r="F850" s="202">
        <v>7</v>
      </c>
      <c r="G850" s="202" t="s">
        <v>164</v>
      </c>
      <c r="H850">
        <f t="shared" si="275"/>
        <v>17</v>
      </c>
    </row>
    <row r="851" spans="1:8" x14ac:dyDescent="0.35">
      <c r="A851" s="196"/>
      <c r="B851" s="196"/>
      <c r="C851" s="222" t="str">
        <f t="shared" si="281"/>
        <v>600</v>
      </c>
      <c r="D851" s="202" t="s">
        <v>243</v>
      </c>
      <c r="E851" s="213" t="s">
        <v>543</v>
      </c>
      <c r="F851" s="202">
        <v>7</v>
      </c>
      <c r="G851" s="196" t="s">
        <v>217</v>
      </c>
      <c r="H851" s="250">
        <f t="shared" si="275"/>
        <v>18</v>
      </c>
    </row>
    <row r="852" spans="1:8" x14ac:dyDescent="0.35">
      <c r="A852" s="196"/>
      <c r="B852" s="196"/>
      <c r="C852" s="222" t="str">
        <f t="shared" si="281"/>
        <v>600</v>
      </c>
      <c r="D852" s="196" t="s">
        <v>811</v>
      </c>
      <c r="E852" s="213" t="s">
        <v>807</v>
      </c>
      <c r="F852" s="196" t="s">
        <v>248</v>
      </c>
      <c r="G852" s="196" t="s">
        <v>164</v>
      </c>
      <c r="H852">
        <f t="shared" si="275"/>
        <v>22</v>
      </c>
    </row>
    <row r="853" spans="1:8" x14ac:dyDescent="0.35">
      <c r="A853" s="196"/>
      <c r="B853" s="196"/>
      <c r="C853" s="222" t="str">
        <f t="shared" si="281"/>
        <v>600</v>
      </c>
      <c r="D853" s="196" t="s">
        <v>812</v>
      </c>
      <c r="E853" s="213" t="s">
        <v>808</v>
      </c>
      <c r="F853" s="196" t="s">
        <v>248</v>
      </c>
      <c r="G853" s="196" t="s">
        <v>164</v>
      </c>
      <c r="H853">
        <f t="shared" si="275"/>
        <v>23</v>
      </c>
    </row>
    <row r="854" spans="1:8" x14ac:dyDescent="0.35">
      <c r="A854" s="196"/>
      <c r="B854" s="196"/>
      <c r="C854" s="222" t="str">
        <f>IF(B854="",C851,B854)</f>
        <v>600</v>
      </c>
      <c r="D854" s="202" t="s">
        <v>244</v>
      </c>
      <c r="E854" s="213" t="s">
        <v>544</v>
      </c>
      <c r="F854" s="202">
        <v>7</v>
      </c>
      <c r="G854" s="202" t="s">
        <v>164</v>
      </c>
      <c r="H854">
        <f t="shared" si="275"/>
        <v>18</v>
      </c>
    </row>
    <row r="855" spans="1:8" x14ac:dyDescent="0.35">
      <c r="A855" s="196"/>
      <c r="B855" s="196"/>
      <c r="C855" s="222" t="str">
        <f t="shared" ref="C855:C901" si="282">IF(B855="",C854,B855)</f>
        <v>600</v>
      </c>
      <c r="D855" s="202" t="s">
        <v>426</v>
      </c>
      <c r="E855" s="213" t="s">
        <v>558</v>
      </c>
      <c r="F855" s="202">
        <v>7</v>
      </c>
      <c r="G855" s="202" t="s">
        <v>164</v>
      </c>
      <c r="H855">
        <f t="shared" si="275"/>
        <v>9</v>
      </c>
    </row>
    <row r="856" spans="1:8" x14ac:dyDescent="0.35">
      <c r="A856" s="196"/>
      <c r="B856" s="196"/>
      <c r="C856" s="222" t="str">
        <f t="shared" ref="C856:C857" si="283">IF(B856="",C855,B856)</f>
        <v>600</v>
      </c>
      <c r="D856" s="202" t="s">
        <v>463</v>
      </c>
      <c r="E856" s="213" t="s">
        <v>856</v>
      </c>
      <c r="F856" s="202">
        <v>7</v>
      </c>
      <c r="G856" s="202" t="s">
        <v>164</v>
      </c>
      <c r="H856">
        <f t="shared" ref="H856:H857" si="284">LEN(E856)</f>
        <v>7</v>
      </c>
    </row>
    <row r="857" spans="1:8" x14ac:dyDescent="0.35">
      <c r="A857" s="196"/>
      <c r="B857" s="196"/>
      <c r="C857" s="222" t="str">
        <f t="shared" si="283"/>
        <v>600</v>
      </c>
      <c r="D857" s="202" t="s">
        <v>464</v>
      </c>
      <c r="E857" s="213" t="s">
        <v>857</v>
      </c>
      <c r="F857" s="202">
        <v>7</v>
      </c>
      <c r="G857" s="202" t="s">
        <v>164</v>
      </c>
      <c r="H857">
        <f t="shared" si="284"/>
        <v>29</v>
      </c>
    </row>
    <row r="858" spans="1:8" x14ac:dyDescent="0.35">
      <c r="A858" s="196"/>
      <c r="B858" s="196"/>
      <c r="C858" s="222" t="str">
        <f t="shared" ref="C858:C859" si="285">IF(B858="",C857,B858)</f>
        <v>600</v>
      </c>
      <c r="D858" s="202" t="s">
        <v>465</v>
      </c>
      <c r="E858" s="213" t="s">
        <v>878</v>
      </c>
      <c r="F858" s="202">
        <v>7</v>
      </c>
      <c r="G858" s="202" t="s">
        <v>164</v>
      </c>
      <c r="H858">
        <f t="shared" ref="H858:H859" si="286">LEN(E858)</f>
        <v>15</v>
      </c>
    </row>
    <row r="859" spans="1:8" x14ac:dyDescent="0.35">
      <c r="A859" s="196"/>
      <c r="B859" s="196"/>
      <c r="C859" s="222" t="str">
        <f t="shared" si="285"/>
        <v>600</v>
      </c>
      <c r="D859" s="202" t="s">
        <v>466</v>
      </c>
      <c r="E859" s="213" t="s">
        <v>855</v>
      </c>
      <c r="F859" s="202">
        <v>7</v>
      </c>
      <c r="G859" s="202" t="s">
        <v>164</v>
      </c>
      <c r="H859">
        <f t="shared" si="286"/>
        <v>9</v>
      </c>
    </row>
    <row r="860" spans="1:8" x14ac:dyDescent="0.35">
      <c r="A860" s="196"/>
      <c r="B860" s="196"/>
      <c r="C860" s="222" t="str">
        <f t="shared" ref="C860:C861" si="287">IF(B860="",C859,B860)</f>
        <v>600</v>
      </c>
      <c r="D860" s="202" t="s">
        <v>879</v>
      </c>
      <c r="E860" s="213" t="s">
        <v>990</v>
      </c>
      <c r="F860" s="202">
        <v>7</v>
      </c>
      <c r="G860" s="202" t="s">
        <v>164</v>
      </c>
      <c r="H860">
        <f t="shared" ref="H860:H861" si="288">LEN(E860)</f>
        <v>19</v>
      </c>
    </row>
    <row r="861" spans="1:8" x14ac:dyDescent="0.35">
      <c r="A861" s="196"/>
      <c r="B861" s="196"/>
      <c r="C861" s="222" t="str">
        <f t="shared" si="287"/>
        <v>600</v>
      </c>
      <c r="D861" s="202" t="s">
        <v>1092</v>
      </c>
      <c r="E861" s="213" t="s">
        <v>1093</v>
      </c>
      <c r="F861" s="202">
        <v>7</v>
      </c>
      <c r="G861" s="202" t="s">
        <v>164</v>
      </c>
      <c r="H861">
        <f t="shared" si="288"/>
        <v>13</v>
      </c>
    </row>
    <row r="862" spans="1:8" x14ac:dyDescent="0.35">
      <c r="A862" s="196"/>
      <c r="B862" s="196"/>
      <c r="C862" s="223" t="str">
        <f t="shared" ref="C862" si="289">IF(B862="",C861,B862)</f>
        <v>600</v>
      </c>
      <c r="D862" s="233" t="s">
        <v>1113</v>
      </c>
      <c r="E862" s="225" t="s">
        <v>1114</v>
      </c>
      <c r="F862" s="233">
        <v>7</v>
      </c>
      <c r="G862" s="233" t="s">
        <v>164</v>
      </c>
      <c r="H862" s="16">
        <f t="shared" ref="H862" si="290">LEN(E862)</f>
        <v>21</v>
      </c>
    </row>
    <row r="863" spans="1:8" x14ac:dyDescent="0.35">
      <c r="A863" s="196"/>
      <c r="B863" s="196"/>
      <c r="C863" s="222" t="s">
        <v>425</v>
      </c>
      <c r="D863" s="196" t="s">
        <v>221</v>
      </c>
      <c r="E863" s="214" t="s">
        <v>969</v>
      </c>
      <c r="F863" s="260" t="s">
        <v>219</v>
      </c>
      <c r="G863" s="260" t="s">
        <v>217</v>
      </c>
    </row>
    <row r="864" spans="1:8" x14ac:dyDescent="0.35">
      <c r="A864" s="196"/>
      <c r="B864" s="196"/>
      <c r="C864" s="222" t="s">
        <v>425</v>
      </c>
      <c r="D864" s="202" t="s">
        <v>272</v>
      </c>
      <c r="E864" s="213" t="s">
        <v>970</v>
      </c>
      <c r="F864" s="201" t="s">
        <v>247</v>
      </c>
      <c r="G864" s="201" t="s">
        <v>164</v>
      </c>
    </row>
    <row r="865" spans="1:7" x14ac:dyDescent="0.35">
      <c r="A865" s="196"/>
      <c r="B865" s="196"/>
      <c r="C865" s="222" t="s">
        <v>425</v>
      </c>
      <c r="D865" s="202" t="s">
        <v>275</v>
      </c>
      <c r="E865" s="213" t="s">
        <v>971</v>
      </c>
      <c r="F865" s="201" t="s">
        <v>247</v>
      </c>
      <c r="G865" s="201" t="s">
        <v>164</v>
      </c>
    </row>
    <row r="866" spans="1:7" x14ac:dyDescent="0.35">
      <c r="A866" s="196"/>
      <c r="B866" s="196"/>
      <c r="C866" s="222" t="s">
        <v>425</v>
      </c>
      <c r="D866" s="202" t="s">
        <v>278</v>
      </c>
      <c r="E866" s="213" t="s">
        <v>972</v>
      </c>
      <c r="F866" s="201" t="s">
        <v>247</v>
      </c>
      <c r="G866" s="201" t="s">
        <v>164</v>
      </c>
    </row>
    <row r="867" spans="1:7" x14ac:dyDescent="0.35">
      <c r="A867" s="196"/>
      <c r="B867" s="196"/>
      <c r="C867" s="222" t="s">
        <v>425</v>
      </c>
      <c r="D867" s="202" t="s">
        <v>281</v>
      </c>
      <c r="E867" s="213" t="s">
        <v>973</v>
      </c>
      <c r="F867" s="201" t="s">
        <v>247</v>
      </c>
      <c r="G867" s="201" t="s">
        <v>164</v>
      </c>
    </row>
    <row r="868" spans="1:7" x14ac:dyDescent="0.35">
      <c r="A868" s="196"/>
      <c r="B868" s="196"/>
      <c r="C868" s="222" t="s">
        <v>425</v>
      </c>
      <c r="D868" s="202" t="s">
        <v>298</v>
      </c>
      <c r="E868" s="213" t="s">
        <v>974</v>
      </c>
      <c r="F868" s="201" t="s">
        <v>247</v>
      </c>
      <c r="G868" s="201" t="s">
        <v>164</v>
      </c>
    </row>
    <row r="869" spans="1:7" x14ac:dyDescent="0.35">
      <c r="A869" s="196"/>
      <c r="B869" s="196"/>
      <c r="C869" s="222" t="s">
        <v>425</v>
      </c>
      <c r="D869" s="202" t="s">
        <v>299</v>
      </c>
      <c r="E869" s="213" t="s">
        <v>975</v>
      </c>
      <c r="F869" s="201" t="s">
        <v>247</v>
      </c>
      <c r="G869" s="201" t="s">
        <v>164</v>
      </c>
    </row>
    <row r="870" spans="1:7" x14ac:dyDescent="0.35">
      <c r="A870" s="196"/>
      <c r="B870" s="196"/>
      <c r="C870" s="222" t="s">
        <v>425</v>
      </c>
      <c r="D870" s="202" t="s">
        <v>300</v>
      </c>
      <c r="E870" s="213" t="s">
        <v>976</v>
      </c>
      <c r="F870" s="201" t="s">
        <v>247</v>
      </c>
      <c r="G870" s="201" t="s">
        <v>164</v>
      </c>
    </row>
    <row r="871" spans="1:7" x14ac:dyDescent="0.35">
      <c r="A871" s="196"/>
      <c r="B871" s="196"/>
      <c r="C871" s="222" t="s">
        <v>425</v>
      </c>
      <c r="D871" s="202" t="s">
        <v>301</v>
      </c>
      <c r="E871" s="213" t="s">
        <v>977</v>
      </c>
      <c r="F871" s="201" t="s">
        <v>247</v>
      </c>
      <c r="G871" s="201" t="s">
        <v>164</v>
      </c>
    </row>
    <row r="872" spans="1:7" x14ac:dyDescent="0.35">
      <c r="A872" s="196"/>
      <c r="B872" s="196"/>
      <c r="C872" s="222" t="s">
        <v>425</v>
      </c>
      <c r="D872" s="202" t="s">
        <v>414</v>
      </c>
      <c r="E872" s="213" t="s">
        <v>978</v>
      </c>
      <c r="F872" s="201" t="s">
        <v>247</v>
      </c>
      <c r="G872" s="201" t="s">
        <v>164</v>
      </c>
    </row>
    <row r="873" spans="1:7" x14ac:dyDescent="0.35">
      <c r="A873" s="196"/>
      <c r="B873" s="196"/>
      <c r="C873" s="222" t="s">
        <v>425</v>
      </c>
      <c r="D873" s="202" t="s">
        <v>415</v>
      </c>
      <c r="E873" s="213" t="s">
        <v>979</v>
      </c>
      <c r="F873" s="201" t="s">
        <v>247</v>
      </c>
      <c r="G873" s="201" t="s">
        <v>164</v>
      </c>
    </row>
    <row r="874" spans="1:7" x14ac:dyDescent="0.35">
      <c r="A874" s="196"/>
      <c r="B874" s="196"/>
      <c r="C874" s="222" t="s">
        <v>425</v>
      </c>
      <c r="D874" s="202" t="s">
        <v>416</v>
      </c>
      <c r="E874" s="213" t="s">
        <v>980</v>
      </c>
      <c r="F874" s="201" t="s">
        <v>247</v>
      </c>
      <c r="G874" s="201" t="s">
        <v>164</v>
      </c>
    </row>
    <row r="875" spans="1:7" x14ac:dyDescent="0.35">
      <c r="A875" s="196"/>
      <c r="B875" s="196"/>
      <c r="C875" s="222" t="s">
        <v>425</v>
      </c>
      <c r="D875" s="202" t="s">
        <v>450</v>
      </c>
      <c r="E875" s="213" t="s">
        <v>981</v>
      </c>
      <c r="F875" s="201" t="s">
        <v>247</v>
      </c>
      <c r="G875" s="201" t="s">
        <v>164</v>
      </c>
    </row>
    <row r="876" spans="1:7" x14ac:dyDescent="0.35">
      <c r="A876" s="196"/>
      <c r="B876" s="196"/>
      <c r="C876" s="222" t="s">
        <v>425</v>
      </c>
      <c r="D876" s="202" t="s">
        <v>451</v>
      </c>
      <c r="E876" s="213" t="s">
        <v>982</v>
      </c>
      <c r="F876" s="201" t="s">
        <v>247</v>
      </c>
      <c r="G876" s="201" t="s">
        <v>164</v>
      </c>
    </row>
    <row r="877" spans="1:7" x14ac:dyDescent="0.35">
      <c r="A877" s="196"/>
      <c r="B877" s="196"/>
      <c r="C877" s="222" t="s">
        <v>425</v>
      </c>
      <c r="D877" s="202" t="s">
        <v>930</v>
      </c>
      <c r="E877" s="213" t="s">
        <v>983</v>
      </c>
      <c r="F877" s="201" t="s">
        <v>247</v>
      </c>
      <c r="G877" s="201" t="s">
        <v>164</v>
      </c>
    </row>
    <row r="878" spans="1:7" x14ac:dyDescent="0.35">
      <c r="A878" s="196"/>
      <c r="B878" s="196"/>
      <c r="C878" s="222" t="s">
        <v>425</v>
      </c>
      <c r="D878" s="202" t="s">
        <v>931</v>
      </c>
      <c r="E878" s="213" t="s">
        <v>984</v>
      </c>
      <c r="F878" s="201" t="s">
        <v>247</v>
      </c>
      <c r="G878" s="201" t="s">
        <v>164</v>
      </c>
    </row>
    <row r="879" spans="1:7" x14ac:dyDescent="0.35">
      <c r="A879" s="196"/>
      <c r="B879" s="196"/>
      <c r="C879" s="222" t="s">
        <v>425</v>
      </c>
      <c r="D879" s="202" t="s">
        <v>932</v>
      </c>
      <c r="E879" s="213" t="s">
        <v>985</v>
      </c>
      <c r="F879" s="201" t="s">
        <v>247</v>
      </c>
      <c r="G879" s="201" t="s">
        <v>164</v>
      </c>
    </row>
    <row r="880" spans="1:7" x14ac:dyDescent="0.35">
      <c r="A880" s="196"/>
      <c r="B880" s="196"/>
      <c r="C880" s="222" t="s">
        <v>425</v>
      </c>
      <c r="D880" s="202" t="s">
        <v>933</v>
      </c>
      <c r="E880" s="213" t="s">
        <v>986</v>
      </c>
      <c r="F880" s="201" t="s">
        <v>247</v>
      </c>
      <c r="G880" s="201" t="s">
        <v>164</v>
      </c>
    </row>
    <row r="881" spans="1:10" x14ac:dyDescent="0.35">
      <c r="A881" s="196"/>
      <c r="B881" s="196"/>
      <c r="C881" s="223" t="s">
        <v>425</v>
      </c>
      <c r="D881" s="233" t="s">
        <v>1078</v>
      </c>
      <c r="E881" s="225" t="s">
        <v>1081</v>
      </c>
      <c r="F881" s="269" t="s">
        <v>247</v>
      </c>
      <c r="G881" s="201" t="s">
        <v>164</v>
      </c>
    </row>
    <row r="882" spans="1:10" x14ac:dyDescent="0.35">
      <c r="A882" s="196"/>
      <c r="B882" s="196"/>
      <c r="C882" s="222" t="s">
        <v>425</v>
      </c>
      <c r="D882" s="202" t="s">
        <v>222</v>
      </c>
      <c r="E882" s="213" t="s">
        <v>1069</v>
      </c>
      <c r="F882" s="201" t="s">
        <v>219</v>
      </c>
      <c r="G882" s="201" t="s">
        <v>217</v>
      </c>
    </row>
    <row r="883" spans="1:10" x14ac:dyDescent="0.35">
      <c r="A883" s="196"/>
      <c r="B883" s="196"/>
      <c r="C883" s="222" t="s">
        <v>425</v>
      </c>
      <c r="D883" s="202" t="s">
        <v>303</v>
      </c>
      <c r="E883" s="213" t="s">
        <v>355</v>
      </c>
      <c r="F883" s="201" t="s">
        <v>247</v>
      </c>
      <c r="G883" s="201" t="s">
        <v>164</v>
      </c>
    </row>
    <row r="884" spans="1:10" x14ac:dyDescent="0.35">
      <c r="A884" s="196"/>
      <c r="B884" s="196"/>
      <c r="C884" s="222" t="s">
        <v>425</v>
      </c>
      <c r="D884" s="202" t="s">
        <v>304</v>
      </c>
      <c r="E884" s="213" t="s">
        <v>1049</v>
      </c>
      <c r="F884" s="201" t="s">
        <v>247</v>
      </c>
      <c r="G884" s="201" t="s">
        <v>164</v>
      </c>
    </row>
    <row r="885" spans="1:10" x14ac:dyDescent="0.35">
      <c r="A885" s="196"/>
      <c r="B885" s="196"/>
      <c r="C885" s="222" t="s">
        <v>425</v>
      </c>
      <c r="D885" s="202" t="s">
        <v>305</v>
      </c>
      <c r="E885" s="213" t="s">
        <v>1050</v>
      </c>
      <c r="F885" s="201" t="s">
        <v>247</v>
      </c>
      <c r="G885" s="201" t="s">
        <v>164</v>
      </c>
    </row>
    <row r="886" spans="1:10" x14ac:dyDescent="0.35">
      <c r="A886" s="196"/>
      <c r="B886" s="196"/>
      <c r="C886" s="222" t="s">
        <v>425</v>
      </c>
      <c r="D886" s="202" t="s">
        <v>306</v>
      </c>
      <c r="E886" s="213" t="s">
        <v>1051</v>
      </c>
      <c r="F886" s="201" t="s">
        <v>247</v>
      </c>
      <c r="G886" s="201" t="s">
        <v>164</v>
      </c>
    </row>
    <row r="887" spans="1:10" x14ac:dyDescent="0.35">
      <c r="A887" s="200"/>
      <c r="C887" s="222" t="str">
        <f>IF(B887="",C855,B887)</f>
        <v>600</v>
      </c>
      <c r="D887" s="196">
        <v>99</v>
      </c>
      <c r="E887" s="209" t="s">
        <v>685</v>
      </c>
      <c r="F887" s="196" t="s">
        <v>219</v>
      </c>
      <c r="G887" s="196" t="s">
        <v>164</v>
      </c>
      <c r="H887">
        <f t="shared" si="275"/>
        <v>30</v>
      </c>
    </row>
    <row r="888" spans="1:10" x14ac:dyDescent="0.35">
      <c r="A888" s="200" t="s">
        <v>213</v>
      </c>
      <c r="B888" s="200" t="s">
        <v>427</v>
      </c>
      <c r="C888" s="222" t="str">
        <f t="shared" si="282"/>
        <v>601</v>
      </c>
      <c r="D888" s="200"/>
      <c r="E888" s="206" t="s">
        <v>686</v>
      </c>
      <c r="F888" s="200" t="s">
        <v>216</v>
      </c>
      <c r="G888" s="200" t="s">
        <v>217</v>
      </c>
      <c r="H888">
        <f t="shared" si="275"/>
        <v>27</v>
      </c>
      <c r="J888" s="1" t="s">
        <v>768</v>
      </c>
    </row>
    <row r="889" spans="1:10" x14ac:dyDescent="0.35">
      <c r="A889" s="196"/>
      <c r="B889" s="196"/>
      <c r="C889" s="222" t="str">
        <f t="shared" si="282"/>
        <v>601</v>
      </c>
      <c r="D889" s="196" t="s">
        <v>218</v>
      </c>
      <c r="E889" s="267" t="s">
        <v>686</v>
      </c>
      <c r="F889" s="196" t="s">
        <v>219</v>
      </c>
      <c r="G889" s="196" t="s">
        <v>217</v>
      </c>
      <c r="H889">
        <f t="shared" si="275"/>
        <v>27</v>
      </c>
      <c r="J889" s="1" t="s">
        <v>768</v>
      </c>
    </row>
    <row r="890" spans="1:10" x14ac:dyDescent="0.35">
      <c r="A890" s="200"/>
      <c r="C890" s="222" t="str">
        <f t="shared" si="282"/>
        <v>601</v>
      </c>
      <c r="D890" s="202" t="s">
        <v>53</v>
      </c>
      <c r="E890" s="213" t="s">
        <v>827</v>
      </c>
      <c r="F890" s="202">
        <v>7</v>
      </c>
      <c r="G890" s="202" t="s">
        <v>164</v>
      </c>
      <c r="H890">
        <f t="shared" si="275"/>
        <v>29</v>
      </c>
      <c r="J890" s="1" t="s">
        <v>768</v>
      </c>
    </row>
    <row r="891" spans="1:10" x14ac:dyDescent="0.35">
      <c r="A891" s="200"/>
      <c r="C891" s="222" t="str">
        <f t="shared" si="282"/>
        <v>601</v>
      </c>
      <c r="D891" s="202" t="s">
        <v>55</v>
      </c>
      <c r="E891" s="213" t="s">
        <v>828</v>
      </c>
      <c r="F891" s="202">
        <v>7</v>
      </c>
      <c r="G891" s="202" t="s">
        <v>164</v>
      </c>
      <c r="H891">
        <f t="shared" si="275"/>
        <v>31</v>
      </c>
    </row>
    <row r="892" spans="1:10" x14ac:dyDescent="0.35">
      <c r="A892" s="200"/>
      <c r="C892" s="222" t="str">
        <f t="shared" si="282"/>
        <v>601</v>
      </c>
      <c r="D892" s="202" t="s">
        <v>57</v>
      </c>
      <c r="E892" s="213" t="s">
        <v>547</v>
      </c>
      <c r="F892" s="202">
        <v>7</v>
      </c>
      <c r="G892" s="202" t="s">
        <v>164</v>
      </c>
      <c r="H892">
        <f t="shared" si="275"/>
        <v>12</v>
      </c>
    </row>
    <row r="893" spans="1:10" x14ac:dyDescent="0.35">
      <c r="A893" s="200"/>
      <c r="C893" s="222" t="str">
        <f t="shared" si="282"/>
        <v>601</v>
      </c>
      <c r="D893" s="202" t="s">
        <v>59</v>
      </c>
      <c r="E893" s="213" t="s">
        <v>548</v>
      </c>
      <c r="F893" s="202">
        <v>7</v>
      </c>
      <c r="G893" s="202" t="s">
        <v>164</v>
      </c>
      <c r="H893">
        <f t="shared" si="275"/>
        <v>17</v>
      </c>
    </row>
    <row r="894" spans="1:10" x14ac:dyDescent="0.35">
      <c r="A894" s="200"/>
      <c r="C894" s="222" t="str">
        <f t="shared" si="282"/>
        <v>601</v>
      </c>
      <c r="D894" s="202" t="s">
        <v>229</v>
      </c>
      <c r="E894" s="214" t="s">
        <v>684</v>
      </c>
      <c r="F894" s="202">
        <v>7</v>
      </c>
      <c r="G894" s="202" t="s">
        <v>217</v>
      </c>
      <c r="H894">
        <f t="shared" ref="H894:H1043" si="291">LEN(E894)</f>
        <v>22</v>
      </c>
    </row>
    <row r="895" spans="1:10" x14ac:dyDescent="0.35">
      <c r="A895" s="196"/>
      <c r="B895" s="196"/>
      <c r="C895" s="222" t="str">
        <f t="shared" si="282"/>
        <v>601</v>
      </c>
      <c r="D895" s="196" t="s">
        <v>791</v>
      </c>
      <c r="E895" s="209" t="s">
        <v>491</v>
      </c>
      <c r="F895" s="196" t="s">
        <v>248</v>
      </c>
      <c r="G895" s="196" t="s">
        <v>164</v>
      </c>
      <c r="H895">
        <f t="shared" si="291"/>
        <v>9</v>
      </c>
    </row>
    <row r="896" spans="1:10" x14ac:dyDescent="0.35">
      <c r="A896" s="196"/>
      <c r="B896" s="196"/>
      <c r="C896" s="222" t="str">
        <f t="shared" si="282"/>
        <v>601</v>
      </c>
      <c r="D896" s="196" t="s">
        <v>792</v>
      </c>
      <c r="E896" s="209" t="s">
        <v>490</v>
      </c>
      <c r="F896" s="196" t="s">
        <v>248</v>
      </c>
      <c r="G896" s="196" t="s">
        <v>164</v>
      </c>
      <c r="H896">
        <f t="shared" si="291"/>
        <v>19</v>
      </c>
    </row>
    <row r="897" spans="1:8" x14ac:dyDescent="0.35">
      <c r="A897" s="196"/>
      <c r="B897" s="196"/>
      <c r="C897" s="222" t="str">
        <f t="shared" si="282"/>
        <v>601</v>
      </c>
      <c r="D897" s="196" t="s">
        <v>793</v>
      </c>
      <c r="E897" s="209" t="s">
        <v>594</v>
      </c>
      <c r="F897" s="196" t="s">
        <v>248</v>
      </c>
      <c r="G897" s="196" t="s">
        <v>164</v>
      </c>
      <c r="H897">
        <f t="shared" si="291"/>
        <v>20</v>
      </c>
    </row>
    <row r="898" spans="1:8" x14ac:dyDescent="0.35">
      <c r="A898" s="196"/>
      <c r="B898" s="196"/>
      <c r="C898" s="222" t="str">
        <f t="shared" si="282"/>
        <v>601</v>
      </c>
      <c r="D898" s="196" t="s">
        <v>794</v>
      </c>
      <c r="E898" s="209" t="s">
        <v>595</v>
      </c>
      <c r="F898" s="196" t="s">
        <v>248</v>
      </c>
      <c r="G898" s="196" t="s">
        <v>164</v>
      </c>
      <c r="H898">
        <f t="shared" si="291"/>
        <v>17</v>
      </c>
    </row>
    <row r="899" spans="1:8" x14ac:dyDescent="0.35">
      <c r="A899" s="196"/>
      <c r="B899" s="196"/>
      <c r="C899" s="222" t="str">
        <f t="shared" si="282"/>
        <v>601</v>
      </c>
      <c r="D899" s="196" t="s">
        <v>795</v>
      </c>
      <c r="E899" s="209" t="s">
        <v>596</v>
      </c>
      <c r="F899" s="196" t="s">
        <v>248</v>
      </c>
      <c r="G899" s="196" t="s">
        <v>164</v>
      </c>
      <c r="H899">
        <f t="shared" si="291"/>
        <v>17</v>
      </c>
    </row>
    <row r="900" spans="1:8" x14ac:dyDescent="0.35">
      <c r="A900" s="196"/>
      <c r="B900" s="196"/>
      <c r="C900" s="222" t="str">
        <f t="shared" si="282"/>
        <v>601</v>
      </c>
      <c r="D900" s="196" t="s">
        <v>796</v>
      </c>
      <c r="E900" s="209" t="s">
        <v>597</v>
      </c>
      <c r="F900" s="196" t="s">
        <v>248</v>
      </c>
      <c r="G900" s="196" t="s">
        <v>164</v>
      </c>
      <c r="H900">
        <f t="shared" si="291"/>
        <v>21</v>
      </c>
    </row>
    <row r="901" spans="1:8" x14ac:dyDescent="0.35">
      <c r="A901" s="196"/>
      <c r="B901" s="196"/>
      <c r="C901" s="222" t="str">
        <f t="shared" si="282"/>
        <v>601</v>
      </c>
      <c r="D901" s="196" t="s">
        <v>797</v>
      </c>
      <c r="E901" s="209" t="s">
        <v>738</v>
      </c>
      <c r="F901" s="196" t="s">
        <v>248</v>
      </c>
      <c r="G901" s="196" t="s">
        <v>164</v>
      </c>
      <c r="H901">
        <f t="shared" si="291"/>
        <v>18</v>
      </c>
    </row>
    <row r="902" spans="1:8" x14ac:dyDescent="0.35">
      <c r="A902" s="200"/>
      <c r="C902" s="222" t="str">
        <f>IF(B902="",C894,B902)</f>
        <v>601</v>
      </c>
      <c r="D902" s="202" t="s">
        <v>230</v>
      </c>
      <c r="E902" s="213" t="s">
        <v>626</v>
      </c>
      <c r="F902" s="202">
        <v>7</v>
      </c>
      <c r="G902" s="202" t="s">
        <v>164</v>
      </c>
      <c r="H902">
        <f t="shared" si="291"/>
        <v>22</v>
      </c>
    </row>
    <row r="903" spans="1:8" x14ac:dyDescent="0.35">
      <c r="A903" s="200"/>
      <c r="C903" s="222" t="str">
        <f t="shared" ref="C903:C913" si="292">IF(B903="",C902,B903)</f>
        <v>601</v>
      </c>
      <c r="D903" s="202" t="s">
        <v>231</v>
      </c>
      <c r="E903" s="213" t="s">
        <v>554</v>
      </c>
      <c r="F903" s="202">
        <v>7</v>
      </c>
      <c r="G903" s="202" t="s">
        <v>164</v>
      </c>
      <c r="H903">
        <f t="shared" si="291"/>
        <v>25</v>
      </c>
    </row>
    <row r="904" spans="1:8" x14ac:dyDescent="0.35">
      <c r="A904" s="200"/>
      <c r="C904" s="222" t="str">
        <f t="shared" si="292"/>
        <v>601</v>
      </c>
      <c r="D904" s="202" t="s">
        <v>232</v>
      </c>
      <c r="E904" s="213" t="s">
        <v>537</v>
      </c>
      <c r="F904" s="202">
        <v>7</v>
      </c>
      <c r="G904" s="202" t="s">
        <v>164</v>
      </c>
      <c r="H904">
        <f t="shared" si="291"/>
        <v>8</v>
      </c>
    </row>
    <row r="905" spans="1:8" x14ac:dyDescent="0.35">
      <c r="A905" s="200"/>
      <c r="C905" s="222" t="str">
        <f t="shared" si="292"/>
        <v>601</v>
      </c>
      <c r="D905" s="202" t="s">
        <v>233</v>
      </c>
      <c r="E905" s="213" t="s">
        <v>538</v>
      </c>
      <c r="F905" s="202">
        <v>7</v>
      </c>
      <c r="G905" s="202" t="s">
        <v>164</v>
      </c>
      <c r="H905">
        <f t="shared" si="291"/>
        <v>13</v>
      </c>
    </row>
    <row r="906" spans="1:8" x14ac:dyDescent="0.35">
      <c r="A906" s="200"/>
      <c r="C906" s="222" t="str">
        <f t="shared" si="292"/>
        <v>601</v>
      </c>
      <c r="D906" s="202" t="s">
        <v>234</v>
      </c>
      <c r="E906" s="213" t="s">
        <v>555</v>
      </c>
      <c r="F906" s="202">
        <v>7</v>
      </c>
      <c r="G906" s="202" t="s">
        <v>164</v>
      </c>
      <c r="H906">
        <f t="shared" si="291"/>
        <v>15</v>
      </c>
    </row>
    <row r="907" spans="1:8" x14ac:dyDescent="0.35">
      <c r="A907" s="200"/>
      <c r="C907" s="222" t="str">
        <f t="shared" si="292"/>
        <v>601</v>
      </c>
      <c r="D907" s="202" t="s">
        <v>235</v>
      </c>
      <c r="E907" s="213" t="s">
        <v>627</v>
      </c>
      <c r="F907" s="202">
        <v>7</v>
      </c>
      <c r="G907" s="202" t="s">
        <v>164</v>
      </c>
      <c r="H907">
        <f t="shared" si="291"/>
        <v>15</v>
      </c>
    </row>
    <row r="908" spans="1:8" x14ac:dyDescent="0.35">
      <c r="A908" s="200"/>
      <c r="C908" s="222" t="str">
        <f t="shared" si="292"/>
        <v>601</v>
      </c>
      <c r="D908" s="202" t="s">
        <v>236</v>
      </c>
      <c r="E908" s="213" t="s">
        <v>454</v>
      </c>
      <c r="F908" s="202">
        <v>7</v>
      </c>
      <c r="G908" s="202" t="s">
        <v>164</v>
      </c>
      <c r="H908">
        <f t="shared" si="291"/>
        <v>13</v>
      </c>
    </row>
    <row r="909" spans="1:8" x14ac:dyDescent="0.35">
      <c r="A909" s="200"/>
      <c r="C909" s="222" t="str">
        <f t="shared" si="292"/>
        <v>601</v>
      </c>
      <c r="D909" s="202" t="s">
        <v>237</v>
      </c>
      <c r="E909" s="213" t="s">
        <v>549</v>
      </c>
      <c r="F909" s="202">
        <v>7</v>
      </c>
      <c r="G909" s="202" t="s">
        <v>164</v>
      </c>
      <c r="H909">
        <f t="shared" si="291"/>
        <v>9</v>
      </c>
    </row>
    <row r="910" spans="1:8" x14ac:dyDescent="0.35">
      <c r="A910" s="200"/>
      <c r="C910" s="222" t="str">
        <f t="shared" si="292"/>
        <v>601</v>
      </c>
      <c r="D910" s="202" t="s">
        <v>238</v>
      </c>
      <c r="E910" s="213" t="s">
        <v>618</v>
      </c>
      <c r="F910" s="202">
        <v>7</v>
      </c>
      <c r="G910" s="202" t="s">
        <v>164</v>
      </c>
      <c r="H910">
        <f t="shared" si="291"/>
        <v>24</v>
      </c>
    </row>
    <row r="911" spans="1:8" x14ac:dyDescent="0.35">
      <c r="A911" s="200"/>
      <c r="C911" s="222" t="str">
        <f t="shared" si="292"/>
        <v>601</v>
      </c>
      <c r="D911" s="202" t="s">
        <v>239</v>
      </c>
      <c r="E911" s="213" t="s">
        <v>619</v>
      </c>
      <c r="F911" s="202">
        <v>7</v>
      </c>
      <c r="G911" s="196" t="s">
        <v>217</v>
      </c>
      <c r="H911" s="250">
        <f t="shared" si="291"/>
        <v>26</v>
      </c>
    </row>
    <row r="912" spans="1:8" x14ac:dyDescent="0.35">
      <c r="A912" s="196"/>
      <c r="B912" s="196"/>
      <c r="C912" s="222" t="str">
        <f t="shared" si="292"/>
        <v>601</v>
      </c>
      <c r="D912" s="196" t="s">
        <v>809</v>
      </c>
      <c r="E912" s="213" t="s">
        <v>803</v>
      </c>
      <c r="F912" s="196" t="s">
        <v>248</v>
      </c>
      <c r="G912" s="196" t="s">
        <v>164</v>
      </c>
      <c r="H912">
        <f t="shared" si="291"/>
        <v>16</v>
      </c>
    </row>
    <row r="913" spans="1:8" x14ac:dyDescent="0.35">
      <c r="A913" s="196"/>
      <c r="B913" s="196"/>
      <c r="C913" s="222" t="str">
        <f t="shared" si="292"/>
        <v>601</v>
      </c>
      <c r="D913" s="196" t="s">
        <v>810</v>
      </c>
      <c r="E913" s="213" t="s">
        <v>804</v>
      </c>
      <c r="F913" s="196" t="s">
        <v>248</v>
      </c>
      <c r="G913" s="196" t="s">
        <v>164</v>
      </c>
      <c r="H913">
        <f t="shared" si="291"/>
        <v>16</v>
      </c>
    </row>
    <row r="914" spans="1:8" x14ac:dyDescent="0.35">
      <c r="A914" s="200"/>
      <c r="C914" s="222" t="str">
        <f>IF(B914="",C911,B914)</f>
        <v>601</v>
      </c>
      <c r="D914" s="202" t="s">
        <v>240</v>
      </c>
      <c r="E914" s="213" t="s">
        <v>556</v>
      </c>
      <c r="F914" s="202">
        <v>7</v>
      </c>
      <c r="G914" s="202" t="s">
        <v>164</v>
      </c>
      <c r="H914">
        <f t="shared" si="291"/>
        <v>24</v>
      </c>
    </row>
    <row r="915" spans="1:8" x14ac:dyDescent="0.35">
      <c r="A915" s="200"/>
      <c r="C915" s="222" t="str">
        <f>IF(B915="",C914,B915)</f>
        <v>601</v>
      </c>
      <c r="D915" s="202" t="s">
        <v>241</v>
      </c>
      <c r="E915" s="213" t="s">
        <v>557</v>
      </c>
      <c r="F915" s="202">
        <v>7</v>
      </c>
      <c r="G915" s="202" t="s">
        <v>164</v>
      </c>
      <c r="H915">
        <f t="shared" si="291"/>
        <v>24</v>
      </c>
    </row>
    <row r="916" spans="1:8" x14ac:dyDescent="0.35">
      <c r="A916" s="200"/>
      <c r="C916" s="222" t="str">
        <f>IF(B916="",C915,B916)</f>
        <v>601</v>
      </c>
      <c r="D916" s="202" t="s">
        <v>242</v>
      </c>
      <c r="E916" s="213" t="s">
        <v>542</v>
      </c>
      <c r="F916" s="202">
        <v>7</v>
      </c>
      <c r="G916" s="202" t="s">
        <v>164</v>
      </c>
      <c r="H916">
        <f t="shared" si="291"/>
        <v>17</v>
      </c>
    </row>
    <row r="917" spans="1:8" x14ac:dyDescent="0.35">
      <c r="A917" s="200"/>
      <c r="C917" s="222" t="str">
        <f>IF(B917="",C916,B917)</f>
        <v>601</v>
      </c>
      <c r="D917" s="196" t="s">
        <v>243</v>
      </c>
      <c r="E917" s="213" t="s">
        <v>543</v>
      </c>
      <c r="F917" s="196">
        <v>7</v>
      </c>
      <c r="G917" s="196" t="s">
        <v>217</v>
      </c>
      <c r="H917" s="251">
        <f t="shared" si="291"/>
        <v>18</v>
      </c>
    </row>
    <row r="918" spans="1:8" x14ac:dyDescent="0.35">
      <c r="A918" s="196"/>
      <c r="B918" s="196"/>
      <c r="C918" s="222" t="str">
        <f>IF(B918="",C917,B918)</f>
        <v>601</v>
      </c>
      <c r="D918" s="196" t="s">
        <v>811</v>
      </c>
      <c r="E918" s="213" t="s">
        <v>807</v>
      </c>
      <c r="F918" s="196" t="s">
        <v>248</v>
      </c>
      <c r="G918" s="196" t="s">
        <v>164</v>
      </c>
      <c r="H918">
        <f t="shared" si="291"/>
        <v>22</v>
      </c>
    </row>
    <row r="919" spans="1:8" x14ac:dyDescent="0.35">
      <c r="A919" s="196"/>
      <c r="B919" s="196"/>
      <c r="C919" s="222" t="str">
        <f>IF(B919="",C918,B919)</f>
        <v>601</v>
      </c>
      <c r="D919" s="196" t="s">
        <v>812</v>
      </c>
      <c r="E919" s="213" t="s">
        <v>808</v>
      </c>
      <c r="F919" s="196" t="s">
        <v>248</v>
      </c>
      <c r="G919" s="196" t="s">
        <v>164</v>
      </c>
      <c r="H919">
        <f t="shared" si="291"/>
        <v>23</v>
      </c>
    </row>
    <row r="920" spans="1:8" x14ac:dyDescent="0.35">
      <c r="A920" s="200"/>
      <c r="C920" s="222" t="str">
        <f>IF(B920="",C917,B920)</f>
        <v>601</v>
      </c>
      <c r="D920" s="202" t="s">
        <v>244</v>
      </c>
      <c r="E920" s="213" t="s">
        <v>544</v>
      </c>
      <c r="F920" s="202">
        <v>7</v>
      </c>
      <c r="G920" s="202" t="s">
        <v>164</v>
      </c>
      <c r="H920">
        <f t="shared" si="291"/>
        <v>18</v>
      </c>
    </row>
    <row r="921" spans="1:8" x14ac:dyDescent="0.35">
      <c r="A921" s="200"/>
      <c r="C921" s="222" t="str">
        <f t="shared" ref="C921:C943" si="293">IF(B921="",C920,B921)</f>
        <v>601</v>
      </c>
      <c r="D921" s="202" t="s">
        <v>426</v>
      </c>
      <c r="E921" s="213" t="s">
        <v>558</v>
      </c>
      <c r="F921" s="202">
        <v>7</v>
      </c>
      <c r="G921" s="202" t="s">
        <v>164</v>
      </c>
      <c r="H921">
        <f t="shared" si="291"/>
        <v>9</v>
      </c>
    </row>
    <row r="922" spans="1:8" x14ac:dyDescent="0.35">
      <c r="A922" s="200"/>
      <c r="C922" s="222" t="str">
        <f t="shared" ref="C922" si="294">IF(B922="",C921,B922)</f>
        <v>601</v>
      </c>
      <c r="D922" s="202" t="s">
        <v>463</v>
      </c>
      <c r="E922" s="213" t="s">
        <v>877</v>
      </c>
      <c r="F922" s="202">
        <v>7</v>
      </c>
      <c r="G922" s="202" t="s">
        <v>164</v>
      </c>
      <c r="H922">
        <f t="shared" ref="H922" si="295">LEN(E922)</f>
        <v>19</v>
      </c>
    </row>
    <row r="923" spans="1:8" x14ac:dyDescent="0.35">
      <c r="A923" s="200"/>
      <c r="C923" s="222" t="str">
        <f t="shared" ref="C923" si="296">IF(B923="",C922,B923)</f>
        <v>601</v>
      </c>
      <c r="D923" s="202" t="s">
        <v>464</v>
      </c>
      <c r="E923" s="213" t="s">
        <v>857</v>
      </c>
      <c r="F923" s="202">
        <v>7</v>
      </c>
      <c r="G923" s="202" t="s">
        <v>164</v>
      </c>
      <c r="H923">
        <f t="shared" ref="H923" si="297">LEN(E923)</f>
        <v>29</v>
      </c>
    </row>
    <row r="924" spans="1:8" x14ac:dyDescent="0.35">
      <c r="A924" s="200"/>
      <c r="C924" s="222" t="str">
        <f t="shared" ref="C924" si="298">IF(B924="",C923,B924)</f>
        <v>601</v>
      </c>
      <c r="D924" s="202" t="s">
        <v>465</v>
      </c>
      <c r="E924" s="213" t="s">
        <v>1093</v>
      </c>
      <c r="F924" s="202">
        <v>7</v>
      </c>
      <c r="G924" s="202" t="s">
        <v>164</v>
      </c>
      <c r="H924">
        <f t="shared" ref="H924" si="299">LEN(E924)</f>
        <v>13</v>
      </c>
    </row>
    <row r="925" spans="1:8" x14ac:dyDescent="0.35">
      <c r="A925" s="200"/>
      <c r="C925" s="222" t="str">
        <f t="shared" ref="C925" si="300">IF(B925="",C921,B925)</f>
        <v>601</v>
      </c>
      <c r="D925" s="202" t="s">
        <v>879</v>
      </c>
      <c r="E925" s="213" t="s">
        <v>856</v>
      </c>
      <c r="F925" s="202">
        <v>7</v>
      </c>
      <c r="G925" s="202" t="s">
        <v>164</v>
      </c>
      <c r="H925">
        <f t="shared" ref="H925" si="301">LEN(E925)</f>
        <v>7</v>
      </c>
    </row>
    <row r="926" spans="1:8" x14ac:dyDescent="0.35">
      <c r="A926" s="200"/>
      <c r="C926" s="222" t="str">
        <f>IF(B926="",C921,B926)</f>
        <v>601</v>
      </c>
      <c r="D926" s="196" t="s">
        <v>221</v>
      </c>
      <c r="E926" s="259" t="s">
        <v>988</v>
      </c>
      <c r="F926" s="260" t="s">
        <v>219</v>
      </c>
      <c r="G926" s="260" t="s">
        <v>217</v>
      </c>
      <c r="H926">
        <f t="shared" si="291"/>
        <v>27</v>
      </c>
    </row>
    <row r="927" spans="1:8" x14ac:dyDescent="0.35">
      <c r="A927" s="200"/>
      <c r="C927" s="222" t="str">
        <f t="shared" si="293"/>
        <v>601</v>
      </c>
      <c r="D927" s="202" t="s">
        <v>272</v>
      </c>
      <c r="E927" s="213" t="s">
        <v>970</v>
      </c>
      <c r="F927" s="201" t="s">
        <v>247</v>
      </c>
      <c r="G927" s="201" t="s">
        <v>164</v>
      </c>
      <c r="H927">
        <f t="shared" si="291"/>
        <v>8</v>
      </c>
    </row>
    <row r="928" spans="1:8" x14ac:dyDescent="0.35">
      <c r="A928" s="200"/>
      <c r="C928" s="222" t="str">
        <f t="shared" si="293"/>
        <v>601</v>
      </c>
      <c r="D928" s="202" t="s">
        <v>275</v>
      </c>
      <c r="E928" s="213" t="s">
        <v>971</v>
      </c>
      <c r="F928" s="201" t="s">
        <v>247</v>
      </c>
      <c r="G928" s="201" t="s">
        <v>164</v>
      </c>
      <c r="H928">
        <f t="shared" ref="H928:H932" si="302">LEN(E928)</f>
        <v>20</v>
      </c>
    </row>
    <row r="929" spans="1:8" x14ac:dyDescent="0.35">
      <c r="A929" s="200"/>
      <c r="C929" s="222" t="str">
        <f>IF(B929="",C927,B929)</f>
        <v>601</v>
      </c>
      <c r="D929" s="202" t="s">
        <v>278</v>
      </c>
      <c r="E929" s="213" t="s">
        <v>972</v>
      </c>
      <c r="F929" s="201" t="s">
        <v>247</v>
      </c>
      <c r="G929" s="201" t="s">
        <v>164</v>
      </c>
      <c r="H929">
        <f t="shared" ref="H929" si="303">LEN(E929)</f>
        <v>21</v>
      </c>
    </row>
    <row r="930" spans="1:8" x14ac:dyDescent="0.35">
      <c r="A930" s="200"/>
      <c r="C930" s="222" t="str">
        <f>IF(B930="",C928,B930)</f>
        <v>601</v>
      </c>
      <c r="D930" s="202" t="s">
        <v>281</v>
      </c>
      <c r="E930" s="213" t="s">
        <v>973</v>
      </c>
      <c r="F930" s="201" t="s">
        <v>247</v>
      </c>
      <c r="G930" s="201" t="s">
        <v>164</v>
      </c>
      <c r="H930">
        <f t="shared" si="302"/>
        <v>16</v>
      </c>
    </row>
    <row r="931" spans="1:8" x14ac:dyDescent="0.35">
      <c r="A931" s="200"/>
      <c r="C931" s="222" t="str">
        <f t="shared" si="293"/>
        <v>601</v>
      </c>
      <c r="D931" s="202" t="s">
        <v>298</v>
      </c>
      <c r="E931" s="213" t="s">
        <v>974</v>
      </c>
      <c r="F931" s="201" t="s">
        <v>247</v>
      </c>
      <c r="G931" s="201" t="s">
        <v>164</v>
      </c>
      <c r="H931">
        <f t="shared" si="302"/>
        <v>22</v>
      </c>
    </row>
    <row r="932" spans="1:8" x14ac:dyDescent="0.35">
      <c r="A932" s="200"/>
      <c r="C932" s="222" t="str">
        <f t="shared" si="293"/>
        <v>601</v>
      </c>
      <c r="D932" s="202" t="s">
        <v>299</v>
      </c>
      <c r="E932" s="213" t="s">
        <v>975</v>
      </c>
      <c r="F932" s="201" t="s">
        <v>247</v>
      </c>
      <c r="G932" s="201" t="s">
        <v>164</v>
      </c>
      <c r="H932">
        <f t="shared" si="302"/>
        <v>19</v>
      </c>
    </row>
    <row r="933" spans="1:8" x14ac:dyDescent="0.35">
      <c r="A933" s="200"/>
      <c r="C933" s="222" t="str">
        <f t="shared" si="293"/>
        <v>601</v>
      </c>
      <c r="D933" s="202" t="s">
        <v>300</v>
      </c>
      <c r="E933" s="213" t="s">
        <v>976</v>
      </c>
      <c r="F933" s="201" t="s">
        <v>247</v>
      </c>
      <c r="G933" s="201" t="s">
        <v>164</v>
      </c>
    </row>
    <row r="934" spans="1:8" x14ac:dyDescent="0.35">
      <c r="A934" s="200"/>
      <c r="C934" s="222" t="str">
        <f t="shared" si="293"/>
        <v>601</v>
      </c>
      <c r="D934" s="202" t="s">
        <v>301</v>
      </c>
      <c r="E934" s="213" t="s">
        <v>977</v>
      </c>
      <c r="F934" s="201" t="s">
        <v>247</v>
      </c>
      <c r="G934" s="201" t="s">
        <v>164</v>
      </c>
    </row>
    <row r="935" spans="1:8" x14ac:dyDescent="0.35">
      <c r="A935" s="200"/>
      <c r="C935" s="222" t="str">
        <f t="shared" si="293"/>
        <v>601</v>
      </c>
      <c r="D935" s="202" t="s">
        <v>414</v>
      </c>
      <c r="E935" s="213" t="s">
        <v>978</v>
      </c>
      <c r="F935" s="201" t="s">
        <v>247</v>
      </c>
      <c r="G935" s="201" t="s">
        <v>164</v>
      </c>
    </row>
    <row r="936" spans="1:8" x14ac:dyDescent="0.35">
      <c r="A936" s="200"/>
      <c r="C936" s="222" t="str">
        <f t="shared" si="293"/>
        <v>601</v>
      </c>
      <c r="D936" s="202" t="s">
        <v>415</v>
      </c>
      <c r="E936" s="213" t="s">
        <v>979</v>
      </c>
      <c r="F936" s="201" t="s">
        <v>247</v>
      </c>
      <c r="G936" s="201" t="s">
        <v>164</v>
      </c>
    </row>
    <row r="937" spans="1:8" x14ac:dyDescent="0.35">
      <c r="A937" s="200"/>
      <c r="C937" s="222" t="str">
        <f t="shared" si="293"/>
        <v>601</v>
      </c>
      <c r="D937" s="202" t="s">
        <v>416</v>
      </c>
      <c r="E937" s="213" t="s">
        <v>980</v>
      </c>
      <c r="F937" s="201" t="s">
        <v>247</v>
      </c>
      <c r="G937" s="201" t="s">
        <v>164</v>
      </c>
    </row>
    <row r="938" spans="1:8" x14ac:dyDescent="0.35">
      <c r="A938" s="200"/>
      <c r="C938" s="222" t="str">
        <f t="shared" si="293"/>
        <v>601</v>
      </c>
      <c r="D938" s="202" t="s">
        <v>450</v>
      </c>
      <c r="E938" s="213" t="s">
        <v>981</v>
      </c>
      <c r="F938" s="201" t="s">
        <v>247</v>
      </c>
      <c r="G938" s="201" t="s">
        <v>164</v>
      </c>
    </row>
    <row r="939" spans="1:8" x14ac:dyDescent="0.35">
      <c r="A939" s="200"/>
      <c r="C939" s="222" t="str">
        <f t="shared" si="293"/>
        <v>601</v>
      </c>
      <c r="D939" s="202" t="s">
        <v>451</v>
      </c>
      <c r="E939" s="213" t="s">
        <v>982</v>
      </c>
      <c r="F939" s="201" t="s">
        <v>247</v>
      </c>
      <c r="G939" s="201" t="s">
        <v>164</v>
      </c>
    </row>
    <row r="940" spans="1:8" x14ac:dyDescent="0.35">
      <c r="A940" s="200"/>
      <c r="C940" s="222" t="str">
        <f t="shared" si="293"/>
        <v>601</v>
      </c>
      <c r="D940" s="202" t="s">
        <v>930</v>
      </c>
      <c r="E940" s="213" t="s">
        <v>983</v>
      </c>
      <c r="F940" s="201" t="s">
        <v>247</v>
      </c>
      <c r="G940" s="201" t="s">
        <v>164</v>
      </c>
    </row>
    <row r="941" spans="1:8" x14ac:dyDescent="0.35">
      <c r="A941" s="200"/>
      <c r="C941" s="222" t="str">
        <f t="shared" si="293"/>
        <v>601</v>
      </c>
      <c r="D941" s="202" t="s">
        <v>931</v>
      </c>
      <c r="E941" s="213" t="s">
        <v>984</v>
      </c>
      <c r="F941" s="201" t="s">
        <v>247</v>
      </c>
      <c r="G941" s="201" t="s">
        <v>164</v>
      </c>
    </row>
    <row r="942" spans="1:8" x14ac:dyDescent="0.35">
      <c r="A942" s="200"/>
      <c r="C942" s="222" t="str">
        <f t="shared" si="293"/>
        <v>601</v>
      </c>
      <c r="D942" s="202" t="s">
        <v>932</v>
      </c>
      <c r="E942" s="213" t="s">
        <v>985</v>
      </c>
      <c r="F942" s="201" t="s">
        <v>247</v>
      </c>
      <c r="G942" s="201" t="s">
        <v>164</v>
      </c>
    </row>
    <row r="943" spans="1:8" x14ac:dyDescent="0.35">
      <c r="A943" s="200"/>
      <c r="C943" s="222" t="str">
        <f t="shared" si="293"/>
        <v>601</v>
      </c>
      <c r="D943" s="202" t="s">
        <v>933</v>
      </c>
      <c r="E943" s="213" t="s">
        <v>986</v>
      </c>
      <c r="F943" s="201" t="s">
        <v>247</v>
      </c>
      <c r="G943" s="201" t="s">
        <v>164</v>
      </c>
    </row>
    <row r="944" spans="1:8" x14ac:dyDescent="0.35">
      <c r="A944" s="200"/>
      <c r="C944" s="223" t="str">
        <f t="shared" ref="C944" si="304">IF(B944="",C943,B944)</f>
        <v>601</v>
      </c>
      <c r="D944" s="233" t="s">
        <v>1078</v>
      </c>
      <c r="E944" s="225" t="s">
        <v>1081</v>
      </c>
      <c r="F944" s="269" t="s">
        <v>247</v>
      </c>
      <c r="G944" s="201" t="s">
        <v>164</v>
      </c>
    </row>
    <row r="945" spans="1:8" x14ac:dyDescent="0.35">
      <c r="A945" s="200"/>
      <c r="C945" s="222" t="str">
        <f>IF(B945="",C942,B945)</f>
        <v>601</v>
      </c>
      <c r="D945" s="196" t="s">
        <v>222</v>
      </c>
      <c r="E945" s="259" t="s">
        <v>1048</v>
      </c>
      <c r="F945" s="260" t="s">
        <v>219</v>
      </c>
      <c r="G945" s="260" t="s">
        <v>217</v>
      </c>
      <c r="H945">
        <f t="shared" ref="H945" si="305">LEN(E945)</f>
        <v>30</v>
      </c>
    </row>
    <row r="946" spans="1:8" x14ac:dyDescent="0.35">
      <c r="A946" s="200"/>
      <c r="C946" s="222" t="str">
        <f>IF(B946="",C943,B946)</f>
        <v>601</v>
      </c>
      <c r="D946" s="196" t="s">
        <v>303</v>
      </c>
      <c r="E946" s="209" t="s">
        <v>355</v>
      </c>
      <c r="F946" s="201" t="s">
        <v>247</v>
      </c>
      <c r="G946" s="201" t="s">
        <v>164</v>
      </c>
    </row>
    <row r="947" spans="1:8" x14ac:dyDescent="0.35">
      <c r="A947" s="200"/>
      <c r="C947" s="222" t="str">
        <f>IF(B947="",C952,B947)</f>
        <v>601</v>
      </c>
      <c r="D947" s="196" t="s">
        <v>304</v>
      </c>
      <c r="E947" s="209" t="s">
        <v>1049</v>
      </c>
      <c r="F947" s="201" t="s">
        <v>247</v>
      </c>
      <c r="G947" s="201" t="s">
        <v>164</v>
      </c>
    </row>
    <row r="948" spans="1:8" x14ac:dyDescent="0.35">
      <c r="A948" s="200"/>
      <c r="C948" s="222" t="str">
        <f t="shared" ref="C948:C949" si="306">IF(B948="",C945,B948)</f>
        <v>601</v>
      </c>
      <c r="D948" s="196" t="s">
        <v>305</v>
      </c>
      <c r="E948" s="209" t="s">
        <v>1050</v>
      </c>
      <c r="F948" s="201" t="s">
        <v>247</v>
      </c>
      <c r="G948" s="201" t="s">
        <v>164</v>
      </c>
    </row>
    <row r="949" spans="1:8" x14ac:dyDescent="0.35">
      <c r="A949" s="200"/>
      <c r="C949" s="222" t="str">
        <f t="shared" si="306"/>
        <v>601</v>
      </c>
      <c r="D949" s="196" t="s">
        <v>306</v>
      </c>
      <c r="E949" s="209" t="s">
        <v>1051</v>
      </c>
      <c r="F949" s="201" t="s">
        <v>247</v>
      </c>
      <c r="G949" s="201" t="s">
        <v>164</v>
      </c>
    </row>
    <row r="950" spans="1:8" x14ac:dyDescent="0.35">
      <c r="A950" s="200"/>
      <c r="C950" s="222" t="str">
        <f>IF(B950="",C947,B950)</f>
        <v>601</v>
      </c>
      <c r="D950" s="196" t="s">
        <v>223</v>
      </c>
      <c r="E950" s="259" t="s">
        <v>1053</v>
      </c>
      <c r="F950" s="260" t="s">
        <v>219</v>
      </c>
      <c r="G950" s="260" t="s">
        <v>217</v>
      </c>
    </row>
    <row r="951" spans="1:8" x14ac:dyDescent="0.35">
      <c r="A951" s="200"/>
      <c r="C951" s="222" t="str">
        <f>IF(B951="",C948,B951)</f>
        <v>601</v>
      </c>
      <c r="D951" s="196" t="s">
        <v>362</v>
      </c>
      <c r="E951" s="209" t="s">
        <v>1053</v>
      </c>
      <c r="F951" s="201" t="s">
        <v>247</v>
      </c>
      <c r="G951" s="201" t="s">
        <v>164</v>
      </c>
    </row>
    <row r="952" spans="1:8" x14ac:dyDescent="0.35">
      <c r="A952" s="200"/>
      <c r="C952" s="222" t="str">
        <f>IF(B952="",C921,B952)</f>
        <v>601</v>
      </c>
      <c r="D952" s="196">
        <v>99</v>
      </c>
      <c r="E952" s="209" t="s">
        <v>687</v>
      </c>
      <c r="F952" s="196">
        <v>6</v>
      </c>
      <c r="G952" s="196" t="s">
        <v>164</v>
      </c>
      <c r="H952">
        <f>LEN(E952)</f>
        <v>26</v>
      </c>
    </row>
    <row r="953" spans="1:8" x14ac:dyDescent="0.35">
      <c r="A953" s="200" t="s">
        <v>213</v>
      </c>
      <c r="B953" s="200" t="s">
        <v>923</v>
      </c>
      <c r="C953" s="223" t="str">
        <f>IF(B953="",C952,B953)</f>
        <v>602</v>
      </c>
      <c r="D953" s="255"/>
      <c r="E953" s="257" t="s">
        <v>924</v>
      </c>
      <c r="F953" s="255" t="s">
        <v>216</v>
      </c>
      <c r="G953" s="255" t="s">
        <v>217</v>
      </c>
      <c r="H953" s="16">
        <f t="shared" si="291"/>
        <v>25</v>
      </c>
    </row>
    <row r="954" spans="1:8" x14ac:dyDescent="0.35">
      <c r="A954" s="196"/>
      <c r="B954" s="196"/>
      <c r="C954" s="223" t="str">
        <f t="shared" ref="C954" si="307">IF(B954="",C953,B954)</f>
        <v>602</v>
      </c>
      <c r="D954" s="224" t="s">
        <v>218</v>
      </c>
      <c r="E954" s="254" t="s">
        <v>925</v>
      </c>
      <c r="F954" s="224" t="s">
        <v>219</v>
      </c>
      <c r="G954" s="224" t="s">
        <v>164</v>
      </c>
      <c r="H954" s="16">
        <f t="shared" si="291"/>
        <v>39</v>
      </c>
    </row>
    <row r="955" spans="1:8" x14ac:dyDescent="0.35">
      <c r="A955" s="200"/>
      <c r="C955" s="222"/>
      <c r="D955" s="196"/>
      <c r="E955" s="209"/>
      <c r="F955" s="196"/>
      <c r="G955" s="196"/>
    </row>
    <row r="956" spans="1:8" x14ac:dyDescent="0.35">
      <c r="A956" s="200" t="s">
        <v>213</v>
      </c>
      <c r="B956" s="200">
        <v>610</v>
      </c>
      <c r="C956" s="222">
        <f>IF(B956="",C952,B956)</f>
        <v>610</v>
      </c>
      <c r="D956" s="200" t="s">
        <v>162</v>
      </c>
      <c r="E956" s="207" t="s">
        <v>127</v>
      </c>
      <c r="F956" s="200">
        <v>5</v>
      </c>
      <c r="G956" s="200" t="s">
        <v>217</v>
      </c>
      <c r="H956">
        <f t="shared" si="291"/>
        <v>15</v>
      </c>
    </row>
    <row r="957" spans="1:8" x14ac:dyDescent="0.35">
      <c r="A957" s="196"/>
      <c r="B957" s="196"/>
      <c r="C957" s="228">
        <f t="shared" ref="C957:C981" si="308">IF(B957="",C956,B957)</f>
        <v>610</v>
      </c>
      <c r="D957" s="229" t="s">
        <v>218</v>
      </c>
      <c r="E957" s="231" t="s">
        <v>127</v>
      </c>
      <c r="F957" s="229" t="s">
        <v>219</v>
      </c>
      <c r="G957" s="229" t="s">
        <v>217</v>
      </c>
      <c r="H957" s="22">
        <f t="shared" si="291"/>
        <v>15</v>
      </c>
    </row>
    <row r="958" spans="1:8" x14ac:dyDescent="0.35">
      <c r="A958" s="200"/>
      <c r="B958" s="200"/>
      <c r="C958" s="228">
        <f t="shared" si="308"/>
        <v>610</v>
      </c>
      <c r="D958" s="232" t="s">
        <v>53</v>
      </c>
      <c r="E958" s="230" t="s">
        <v>827</v>
      </c>
      <c r="F958" s="232">
        <v>7</v>
      </c>
      <c r="G958" s="232" t="s">
        <v>164</v>
      </c>
      <c r="H958" s="22">
        <f t="shared" si="291"/>
        <v>29</v>
      </c>
    </row>
    <row r="959" spans="1:8" x14ac:dyDescent="0.35">
      <c r="A959" s="200"/>
      <c r="B959" s="200"/>
      <c r="C959" s="228">
        <f t="shared" si="308"/>
        <v>610</v>
      </c>
      <c r="D959" s="232" t="s">
        <v>55</v>
      </c>
      <c r="E959" s="230" t="s">
        <v>828</v>
      </c>
      <c r="F959" s="232">
        <v>7</v>
      </c>
      <c r="G959" s="232" t="s">
        <v>164</v>
      </c>
      <c r="H959" s="22">
        <f t="shared" si="291"/>
        <v>31</v>
      </c>
    </row>
    <row r="960" spans="1:8" x14ac:dyDescent="0.35">
      <c r="A960" s="200"/>
      <c r="B960" s="200"/>
      <c r="C960" s="222">
        <f t="shared" si="308"/>
        <v>610</v>
      </c>
      <c r="D960" s="202" t="s">
        <v>57</v>
      </c>
      <c r="E960" s="216" t="s">
        <v>547</v>
      </c>
      <c r="F960" s="202">
        <v>7</v>
      </c>
      <c r="G960" s="202" t="s">
        <v>164</v>
      </c>
      <c r="H960">
        <f t="shared" si="291"/>
        <v>12</v>
      </c>
    </row>
    <row r="961" spans="1:8" x14ac:dyDescent="0.35">
      <c r="A961" s="200"/>
      <c r="B961" s="200"/>
      <c r="C961" s="222">
        <f t="shared" si="308"/>
        <v>610</v>
      </c>
      <c r="D961" s="202" t="s">
        <v>59</v>
      </c>
      <c r="E961" s="216" t="s">
        <v>548</v>
      </c>
      <c r="F961" s="202">
        <v>7</v>
      </c>
      <c r="G961" s="202" t="s">
        <v>164</v>
      </c>
      <c r="H961">
        <f t="shared" si="291"/>
        <v>17</v>
      </c>
    </row>
    <row r="962" spans="1:8" x14ac:dyDescent="0.35">
      <c r="A962" s="200"/>
      <c r="B962" s="200"/>
      <c r="C962" s="222">
        <f t="shared" si="308"/>
        <v>610</v>
      </c>
      <c r="D962" s="196" t="s">
        <v>229</v>
      </c>
      <c r="E962" s="252" t="s">
        <v>684</v>
      </c>
      <c r="F962" s="196">
        <v>7</v>
      </c>
      <c r="G962" s="196" t="s">
        <v>217</v>
      </c>
      <c r="H962" s="251">
        <f t="shared" si="291"/>
        <v>22</v>
      </c>
    </row>
    <row r="963" spans="1:8" x14ac:dyDescent="0.35">
      <c r="A963" s="196"/>
      <c r="B963" s="196"/>
      <c r="C963" s="222">
        <f t="shared" si="308"/>
        <v>610</v>
      </c>
      <c r="D963" s="196" t="s">
        <v>791</v>
      </c>
      <c r="E963" s="209" t="s">
        <v>491</v>
      </c>
      <c r="F963" s="196" t="s">
        <v>248</v>
      </c>
      <c r="G963" s="196" t="s">
        <v>164</v>
      </c>
      <c r="H963">
        <f t="shared" ref="H963:H969" si="309">LEN(E963)</f>
        <v>9</v>
      </c>
    </row>
    <row r="964" spans="1:8" x14ac:dyDescent="0.35">
      <c r="A964" s="196"/>
      <c r="B964" s="196"/>
      <c r="C964" s="222">
        <f t="shared" si="308"/>
        <v>610</v>
      </c>
      <c r="D964" s="196" t="s">
        <v>792</v>
      </c>
      <c r="E964" s="209" t="s">
        <v>490</v>
      </c>
      <c r="F964" s="196" t="s">
        <v>248</v>
      </c>
      <c r="G964" s="196" t="s">
        <v>164</v>
      </c>
      <c r="H964">
        <f t="shared" si="309"/>
        <v>19</v>
      </c>
    </row>
    <row r="965" spans="1:8" x14ac:dyDescent="0.35">
      <c r="A965" s="196"/>
      <c r="B965" s="196"/>
      <c r="C965" s="222">
        <f t="shared" si="308"/>
        <v>610</v>
      </c>
      <c r="D965" s="196" t="s">
        <v>793</v>
      </c>
      <c r="E965" s="209" t="s">
        <v>594</v>
      </c>
      <c r="F965" s="196" t="s">
        <v>248</v>
      </c>
      <c r="G965" s="196" t="s">
        <v>164</v>
      </c>
      <c r="H965">
        <f t="shared" si="309"/>
        <v>20</v>
      </c>
    </row>
    <row r="966" spans="1:8" x14ac:dyDescent="0.35">
      <c r="A966" s="196"/>
      <c r="B966" s="196"/>
      <c r="C966" s="222">
        <f t="shared" si="308"/>
        <v>610</v>
      </c>
      <c r="D966" s="196" t="s">
        <v>794</v>
      </c>
      <c r="E966" s="209" t="s">
        <v>595</v>
      </c>
      <c r="F966" s="196" t="s">
        <v>248</v>
      </c>
      <c r="G966" s="196" t="s">
        <v>164</v>
      </c>
      <c r="H966">
        <f t="shared" si="309"/>
        <v>17</v>
      </c>
    </row>
    <row r="967" spans="1:8" x14ac:dyDescent="0.35">
      <c r="A967" s="196"/>
      <c r="B967" s="196"/>
      <c r="C967" s="222">
        <f t="shared" si="308"/>
        <v>610</v>
      </c>
      <c r="D967" s="196" t="s">
        <v>795</v>
      </c>
      <c r="E967" s="209" t="s">
        <v>596</v>
      </c>
      <c r="F967" s="196" t="s">
        <v>248</v>
      </c>
      <c r="G967" s="196" t="s">
        <v>164</v>
      </c>
      <c r="H967">
        <f t="shared" si="309"/>
        <v>17</v>
      </c>
    </row>
    <row r="968" spans="1:8" x14ac:dyDescent="0.35">
      <c r="A968" s="196"/>
      <c r="B968" s="196"/>
      <c r="C968" s="222">
        <f t="shared" si="308"/>
        <v>610</v>
      </c>
      <c r="D968" s="196" t="s">
        <v>796</v>
      </c>
      <c r="E968" s="209" t="s">
        <v>597</v>
      </c>
      <c r="F968" s="196" t="s">
        <v>248</v>
      </c>
      <c r="G968" s="196" t="s">
        <v>164</v>
      </c>
      <c r="H968">
        <f t="shared" si="309"/>
        <v>21</v>
      </c>
    </row>
    <row r="969" spans="1:8" x14ac:dyDescent="0.35">
      <c r="A969" s="196"/>
      <c r="B969" s="196"/>
      <c r="C969" s="222">
        <f t="shared" si="308"/>
        <v>610</v>
      </c>
      <c r="D969" s="196" t="s">
        <v>797</v>
      </c>
      <c r="E969" s="209" t="s">
        <v>738</v>
      </c>
      <c r="F969" s="196" t="s">
        <v>248</v>
      </c>
      <c r="G969" s="196" t="s">
        <v>164</v>
      </c>
      <c r="H969">
        <f t="shared" si="309"/>
        <v>18</v>
      </c>
    </row>
    <row r="970" spans="1:8" x14ac:dyDescent="0.35">
      <c r="A970" s="200"/>
      <c r="C970" s="222">
        <f t="shared" si="308"/>
        <v>610</v>
      </c>
      <c r="D970" s="202" t="s">
        <v>230</v>
      </c>
      <c r="E970" s="216" t="s">
        <v>628</v>
      </c>
      <c r="F970" s="202">
        <v>7</v>
      </c>
      <c r="G970" s="202" t="s">
        <v>164</v>
      </c>
      <c r="H970">
        <f t="shared" si="291"/>
        <v>21</v>
      </c>
    </row>
    <row r="971" spans="1:8" x14ac:dyDescent="0.35">
      <c r="A971" s="200"/>
      <c r="C971" s="222">
        <f t="shared" si="308"/>
        <v>610</v>
      </c>
      <c r="D971" s="202" t="s">
        <v>231</v>
      </c>
      <c r="E971" s="216" t="s">
        <v>616</v>
      </c>
      <c r="F971" s="202">
        <v>7</v>
      </c>
      <c r="G971" s="202" t="s">
        <v>164</v>
      </c>
      <c r="H971">
        <f t="shared" si="291"/>
        <v>30</v>
      </c>
    </row>
    <row r="972" spans="1:8" x14ac:dyDescent="0.35">
      <c r="A972" s="200"/>
      <c r="C972" s="222">
        <f t="shared" si="308"/>
        <v>610</v>
      </c>
      <c r="D972" s="202" t="s">
        <v>232</v>
      </c>
      <c r="E972" s="216" t="s">
        <v>537</v>
      </c>
      <c r="F972" s="202">
        <v>7</v>
      </c>
      <c r="G972" s="202" t="s">
        <v>164</v>
      </c>
      <c r="H972">
        <f t="shared" si="291"/>
        <v>8</v>
      </c>
    </row>
    <row r="973" spans="1:8" x14ac:dyDescent="0.35">
      <c r="A973" s="200"/>
      <c r="C973" s="222">
        <f t="shared" si="308"/>
        <v>610</v>
      </c>
      <c r="D973" s="202" t="s">
        <v>233</v>
      </c>
      <c r="E973" s="216" t="s">
        <v>538</v>
      </c>
      <c r="F973" s="202">
        <v>7</v>
      </c>
      <c r="G973" s="202" t="s">
        <v>164</v>
      </c>
      <c r="H973">
        <f t="shared" si="291"/>
        <v>13</v>
      </c>
    </row>
    <row r="974" spans="1:8" x14ac:dyDescent="0.35">
      <c r="A974" s="200"/>
      <c r="C974" s="222">
        <f t="shared" si="308"/>
        <v>610</v>
      </c>
      <c r="D974" s="202" t="s">
        <v>234</v>
      </c>
      <c r="E974" s="216" t="s">
        <v>555</v>
      </c>
      <c r="F974" s="202">
        <v>7</v>
      </c>
      <c r="G974" s="202" t="s">
        <v>164</v>
      </c>
      <c r="H974">
        <f t="shared" si="291"/>
        <v>15</v>
      </c>
    </row>
    <row r="975" spans="1:8" x14ac:dyDescent="0.35">
      <c r="A975" s="200"/>
      <c r="C975" s="222">
        <f t="shared" si="308"/>
        <v>610</v>
      </c>
      <c r="D975" s="202" t="s">
        <v>235</v>
      </c>
      <c r="E975" s="215" t="s">
        <v>627</v>
      </c>
      <c r="F975" s="202">
        <v>7</v>
      </c>
      <c r="G975" s="202" t="s">
        <v>164</v>
      </c>
      <c r="H975">
        <f t="shared" si="291"/>
        <v>15</v>
      </c>
    </row>
    <row r="976" spans="1:8" x14ac:dyDescent="0.35">
      <c r="A976" s="200"/>
      <c r="C976" s="222">
        <f t="shared" si="308"/>
        <v>610</v>
      </c>
      <c r="D976" s="202" t="s">
        <v>236</v>
      </c>
      <c r="E976" s="216" t="s">
        <v>454</v>
      </c>
      <c r="F976" s="202">
        <v>7</v>
      </c>
      <c r="G976" s="202" t="s">
        <v>164</v>
      </c>
      <c r="H976">
        <f t="shared" si="291"/>
        <v>13</v>
      </c>
    </row>
    <row r="977" spans="1:8" x14ac:dyDescent="0.35">
      <c r="A977" s="200"/>
      <c r="C977" s="222">
        <f t="shared" si="308"/>
        <v>610</v>
      </c>
      <c r="D977" s="202" t="s">
        <v>237</v>
      </c>
      <c r="E977" s="216" t="s">
        <v>549</v>
      </c>
      <c r="F977" s="202">
        <v>7</v>
      </c>
      <c r="G977" s="202" t="s">
        <v>164</v>
      </c>
      <c r="H977">
        <f t="shared" si="291"/>
        <v>9</v>
      </c>
    </row>
    <row r="978" spans="1:8" x14ac:dyDescent="0.35">
      <c r="A978" s="200"/>
      <c r="C978" s="222">
        <f t="shared" si="308"/>
        <v>610</v>
      </c>
      <c r="D978" s="202" t="s">
        <v>238</v>
      </c>
      <c r="E978" s="216" t="s">
        <v>618</v>
      </c>
      <c r="F978" s="202">
        <v>7</v>
      </c>
      <c r="G978" s="202" t="s">
        <v>164</v>
      </c>
      <c r="H978">
        <f t="shared" si="291"/>
        <v>24</v>
      </c>
    </row>
    <row r="979" spans="1:8" x14ac:dyDescent="0.35">
      <c r="A979" s="200"/>
      <c r="C979" s="222">
        <f t="shared" si="308"/>
        <v>610</v>
      </c>
      <c r="D979" s="196" t="s">
        <v>239</v>
      </c>
      <c r="E979" s="252" t="s">
        <v>619</v>
      </c>
      <c r="F979" s="196">
        <v>7</v>
      </c>
      <c r="G979" s="196" t="s">
        <v>217</v>
      </c>
      <c r="H979" s="251">
        <f t="shared" si="291"/>
        <v>26</v>
      </c>
    </row>
    <row r="980" spans="1:8" x14ac:dyDescent="0.35">
      <c r="A980" s="196"/>
      <c r="B980" s="196"/>
      <c r="C980" s="222">
        <f t="shared" si="308"/>
        <v>610</v>
      </c>
      <c r="D980" s="196" t="s">
        <v>809</v>
      </c>
      <c r="E980" s="213" t="s">
        <v>803</v>
      </c>
      <c r="F980" s="196" t="s">
        <v>248</v>
      </c>
      <c r="G980" s="196" t="s">
        <v>164</v>
      </c>
      <c r="H980">
        <f t="shared" ref="H980:H981" si="310">LEN(E980)</f>
        <v>16</v>
      </c>
    </row>
    <row r="981" spans="1:8" x14ac:dyDescent="0.35">
      <c r="A981" s="196"/>
      <c r="B981" s="196"/>
      <c r="C981" s="222">
        <f t="shared" si="308"/>
        <v>610</v>
      </c>
      <c r="D981" s="196" t="s">
        <v>810</v>
      </c>
      <c r="E981" s="213" t="s">
        <v>804</v>
      </c>
      <c r="F981" s="196" t="s">
        <v>248</v>
      </c>
      <c r="G981" s="196" t="s">
        <v>164</v>
      </c>
      <c r="H981">
        <f t="shared" si="310"/>
        <v>16</v>
      </c>
    </row>
    <row r="982" spans="1:8" x14ac:dyDescent="0.35">
      <c r="A982" s="200"/>
      <c r="C982" s="222">
        <f>IF(B982="",C979,B982)</f>
        <v>610</v>
      </c>
      <c r="D982" s="202" t="s">
        <v>240</v>
      </c>
      <c r="E982" s="216" t="s">
        <v>540</v>
      </c>
      <c r="F982" s="202">
        <v>7</v>
      </c>
      <c r="G982" s="202" t="s">
        <v>164</v>
      </c>
      <c r="H982">
        <f t="shared" si="291"/>
        <v>14</v>
      </c>
    </row>
    <row r="983" spans="1:8" x14ac:dyDescent="0.35">
      <c r="A983" s="200"/>
      <c r="C983" s="222">
        <f>IF(B983="",C982,B983)</f>
        <v>610</v>
      </c>
      <c r="D983" s="202" t="s">
        <v>241</v>
      </c>
      <c r="E983" s="216" t="s">
        <v>541</v>
      </c>
      <c r="F983" s="202">
        <v>7</v>
      </c>
      <c r="G983" s="202" t="s">
        <v>164</v>
      </c>
      <c r="H983">
        <f t="shared" si="291"/>
        <v>14</v>
      </c>
    </row>
    <row r="984" spans="1:8" x14ac:dyDescent="0.35">
      <c r="A984" s="196"/>
      <c r="B984" s="196"/>
      <c r="C984" s="222">
        <f>IF(B984="",C983,B984)</f>
        <v>610</v>
      </c>
      <c r="D984" s="202" t="s">
        <v>242</v>
      </c>
      <c r="E984" s="216" t="s">
        <v>542</v>
      </c>
      <c r="F984" s="202">
        <v>7</v>
      </c>
      <c r="G984" s="202" t="s">
        <v>164</v>
      </c>
      <c r="H984">
        <f t="shared" si="291"/>
        <v>17</v>
      </c>
    </row>
    <row r="985" spans="1:8" x14ac:dyDescent="0.35">
      <c r="A985" s="196"/>
      <c r="B985" s="196"/>
      <c r="C985" s="222">
        <f>IF(B985="",C984,B985)</f>
        <v>610</v>
      </c>
      <c r="D985" s="196" t="s">
        <v>243</v>
      </c>
      <c r="E985" s="252" t="s">
        <v>543</v>
      </c>
      <c r="F985" s="196">
        <v>7</v>
      </c>
      <c r="G985" s="196" t="s">
        <v>217</v>
      </c>
      <c r="H985" s="251">
        <f t="shared" si="291"/>
        <v>18</v>
      </c>
    </row>
    <row r="986" spans="1:8" x14ac:dyDescent="0.35">
      <c r="A986" s="196"/>
      <c r="B986" s="196"/>
      <c r="C986" s="222">
        <f>IF(B986="",C985,B986)</f>
        <v>610</v>
      </c>
      <c r="D986" s="196" t="s">
        <v>811</v>
      </c>
      <c r="E986" s="213" t="s">
        <v>807</v>
      </c>
      <c r="F986" s="196" t="s">
        <v>248</v>
      </c>
      <c r="G986" s="196" t="s">
        <v>164</v>
      </c>
      <c r="H986">
        <f t="shared" ref="H986:H987" si="311">LEN(E986)</f>
        <v>22</v>
      </c>
    </row>
    <row r="987" spans="1:8" x14ac:dyDescent="0.35">
      <c r="A987" s="196"/>
      <c r="B987" s="196"/>
      <c r="C987" s="222">
        <f>IF(B987="",C986,B987)</f>
        <v>610</v>
      </c>
      <c r="D987" s="196" t="s">
        <v>812</v>
      </c>
      <c r="E987" s="213" t="s">
        <v>808</v>
      </c>
      <c r="F987" s="196" t="s">
        <v>248</v>
      </c>
      <c r="G987" s="196" t="s">
        <v>164</v>
      </c>
      <c r="H987">
        <f t="shared" si="311"/>
        <v>23</v>
      </c>
    </row>
    <row r="988" spans="1:8" x14ac:dyDescent="0.35">
      <c r="A988" s="196"/>
      <c r="B988" s="196"/>
      <c r="C988" s="222">
        <f>IF(B988="",C985,B988)</f>
        <v>610</v>
      </c>
      <c r="D988" s="202" t="s">
        <v>244</v>
      </c>
      <c r="E988" s="216" t="s">
        <v>544</v>
      </c>
      <c r="F988" s="202">
        <v>7</v>
      </c>
      <c r="G988" s="202" t="s">
        <v>164</v>
      </c>
      <c r="H988">
        <f t="shared" si="291"/>
        <v>18</v>
      </c>
    </row>
    <row r="989" spans="1:8" x14ac:dyDescent="0.35">
      <c r="A989" s="196"/>
      <c r="B989" s="196"/>
      <c r="C989" s="222">
        <f>IF(B989="",C986,B989)</f>
        <v>610</v>
      </c>
      <c r="D989" s="202" t="s">
        <v>426</v>
      </c>
      <c r="E989" s="216" t="s">
        <v>617</v>
      </c>
      <c r="F989" s="202">
        <v>7</v>
      </c>
      <c r="G989" s="202" t="s">
        <v>164</v>
      </c>
      <c r="H989">
        <f t="shared" ref="H989" si="312">LEN(E989)</f>
        <v>22</v>
      </c>
    </row>
    <row r="990" spans="1:8" x14ac:dyDescent="0.35">
      <c r="A990" s="196"/>
      <c r="B990" s="196"/>
      <c r="C990" s="223">
        <f>IF(B990="",C987,B990)</f>
        <v>610</v>
      </c>
      <c r="D990" s="233" t="s">
        <v>463</v>
      </c>
      <c r="E990" s="268" t="s">
        <v>1121</v>
      </c>
      <c r="F990" s="233">
        <v>7</v>
      </c>
      <c r="G990" s="233" t="s">
        <v>164</v>
      </c>
      <c r="H990">
        <f t="shared" ref="H990" si="313">LEN(E990)</f>
        <v>28</v>
      </c>
    </row>
    <row r="991" spans="1:8" x14ac:dyDescent="0.35">
      <c r="A991" s="196"/>
      <c r="B991" s="196"/>
      <c r="C991" s="222">
        <f>IF(B991="",C986,B991)</f>
        <v>610</v>
      </c>
      <c r="D991" s="259" t="s">
        <v>221</v>
      </c>
      <c r="E991" s="259" t="s">
        <v>987</v>
      </c>
      <c r="F991" s="259" t="s">
        <v>219</v>
      </c>
      <c r="G991" s="259" t="s">
        <v>217</v>
      </c>
    </row>
    <row r="992" spans="1:8" x14ac:dyDescent="0.35">
      <c r="A992" s="196"/>
      <c r="B992" s="196"/>
      <c r="C992" s="222">
        <f>IF(B992="",C987,B992)</f>
        <v>610</v>
      </c>
      <c r="D992" s="201" t="s">
        <v>272</v>
      </c>
      <c r="E992" s="201" t="s">
        <v>952</v>
      </c>
      <c r="F992" s="201" t="s">
        <v>247</v>
      </c>
      <c r="G992" s="201" t="s">
        <v>164</v>
      </c>
    </row>
    <row r="993" spans="1:7" x14ac:dyDescent="0.35">
      <c r="A993" s="196"/>
      <c r="B993" s="196"/>
      <c r="C993" s="222">
        <f>IF(B993="",C988,B993)</f>
        <v>610</v>
      </c>
      <c r="D993" s="201" t="s">
        <v>275</v>
      </c>
      <c r="E993" s="201" t="s">
        <v>953</v>
      </c>
      <c r="F993" s="201" t="s">
        <v>247</v>
      </c>
      <c r="G993" s="201" t="s">
        <v>164</v>
      </c>
    </row>
    <row r="994" spans="1:7" x14ac:dyDescent="0.35">
      <c r="A994" s="196"/>
      <c r="B994" s="196"/>
      <c r="C994" s="222">
        <f t="shared" ref="C994:C1007" si="314">IF(B994="",C991,B994)</f>
        <v>610</v>
      </c>
      <c r="D994" s="201" t="s">
        <v>278</v>
      </c>
      <c r="E994" s="201" t="s">
        <v>954</v>
      </c>
      <c r="F994" s="201" t="s">
        <v>247</v>
      </c>
      <c r="G994" s="201" t="s">
        <v>164</v>
      </c>
    </row>
    <row r="995" spans="1:7" x14ac:dyDescent="0.35">
      <c r="A995" s="196"/>
      <c r="B995" s="196"/>
      <c r="C995" s="222">
        <f t="shared" si="314"/>
        <v>610</v>
      </c>
      <c r="D995" s="201" t="s">
        <v>281</v>
      </c>
      <c r="E995" s="201" t="s">
        <v>955</v>
      </c>
      <c r="F995" s="201" t="s">
        <v>247</v>
      </c>
      <c r="G995" s="201" t="s">
        <v>164</v>
      </c>
    </row>
    <row r="996" spans="1:7" x14ac:dyDescent="0.35">
      <c r="A996" s="196"/>
      <c r="B996" s="196"/>
      <c r="C996" s="222">
        <f t="shared" si="314"/>
        <v>610</v>
      </c>
      <c r="D996" s="201" t="s">
        <v>298</v>
      </c>
      <c r="E996" s="201" t="s">
        <v>956</v>
      </c>
      <c r="F996" s="201" t="s">
        <v>247</v>
      </c>
      <c r="G996" s="201" t="s">
        <v>164</v>
      </c>
    </row>
    <row r="997" spans="1:7" x14ac:dyDescent="0.35">
      <c r="A997" s="196"/>
      <c r="B997" s="196"/>
      <c r="C997" s="222">
        <f t="shared" si="314"/>
        <v>610</v>
      </c>
      <c r="D997" s="201" t="s">
        <v>299</v>
      </c>
      <c r="E997" s="201" t="s">
        <v>957</v>
      </c>
      <c r="F997" s="201" t="s">
        <v>247</v>
      </c>
      <c r="G997" s="201" t="s">
        <v>164</v>
      </c>
    </row>
    <row r="998" spans="1:7" x14ac:dyDescent="0.35">
      <c r="A998" s="196"/>
      <c r="B998" s="196"/>
      <c r="C998" s="222">
        <f t="shared" si="314"/>
        <v>610</v>
      </c>
      <c r="D998" s="201" t="s">
        <v>300</v>
      </c>
      <c r="E998" s="201" t="s">
        <v>958</v>
      </c>
      <c r="F998" s="201" t="s">
        <v>247</v>
      </c>
      <c r="G998" s="201" t="s">
        <v>164</v>
      </c>
    </row>
    <row r="999" spans="1:7" x14ac:dyDescent="0.35">
      <c r="A999" s="196"/>
      <c r="B999" s="196"/>
      <c r="C999" s="222">
        <f t="shared" si="314"/>
        <v>610</v>
      </c>
      <c r="D999" s="201" t="s">
        <v>301</v>
      </c>
      <c r="E999" s="201" t="s">
        <v>959</v>
      </c>
      <c r="F999" s="201" t="s">
        <v>247</v>
      </c>
      <c r="G999" s="201" t="s">
        <v>164</v>
      </c>
    </row>
    <row r="1000" spans="1:7" x14ac:dyDescent="0.35">
      <c r="A1000" s="196"/>
      <c r="B1000" s="196"/>
      <c r="C1000" s="222">
        <f t="shared" si="314"/>
        <v>610</v>
      </c>
      <c r="D1000" s="201" t="s">
        <v>414</v>
      </c>
      <c r="E1000" s="201" t="s">
        <v>960</v>
      </c>
      <c r="F1000" s="201" t="s">
        <v>247</v>
      </c>
      <c r="G1000" s="201" t="s">
        <v>164</v>
      </c>
    </row>
    <row r="1001" spans="1:7" x14ac:dyDescent="0.35">
      <c r="A1001" s="196"/>
      <c r="B1001" s="196"/>
      <c r="C1001" s="222">
        <f t="shared" si="314"/>
        <v>610</v>
      </c>
      <c r="D1001" s="201" t="s">
        <v>415</v>
      </c>
      <c r="E1001" s="201" t="s">
        <v>961</v>
      </c>
      <c r="F1001" s="201" t="s">
        <v>247</v>
      </c>
      <c r="G1001" s="201" t="s">
        <v>164</v>
      </c>
    </row>
    <row r="1002" spans="1:7" x14ac:dyDescent="0.35">
      <c r="A1002" s="196"/>
      <c r="B1002" s="196"/>
      <c r="C1002" s="222">
        <f t="shared" si="314"/>
        <v>610</v>
      </c>
      <c r="D1002" s="201" t="s">
        <v>416</v>
      </c>
      <c r="E1002" s="201" t="s">
        <v>962</v>
      </c>
      <c r="F1002" s="201" t="s">
        <v>247</v>
      </c>
      <c r="G1002" s="201" t="s">
        <v>164</v>
      </c>
    </row>
    <row r="1003" spans="1:7" x14ac:dyDescent="0.35">
      <c r="A1003" s="196"/>
      <c r="B1003" s="196"/>
      <c r="C1003" s="222">
        <f t="shared" si="314"/>
        <v>610</v>
      </c>
      <c r="D1003" s="201" t="s">
        <v>450</v>
      </c>
      <c r="E1003" s="201" t="s">
        <v>963</v>
      </c>
      <c r="F1003" s="201" t="s">
        <v>247</v>
      </c>
      <c r="G1003" s="201" t="s">
        <v>164</v>
      </c>
    </row>
    <row r="1004" spans="1:7" x14ac:dyDescent="0.35">
      <c r="A1004" s="196"/>
      <c r="B1004" s="196"/>
      <c r="C1004" s="222">
        <f t="shared" si="314"/>
        <v>610</v>
      </c>
      <c r="D1004" s="201" t="s">
        <v>451</v>
      </c>
      <c r="E1004" s="201" t="s">
        <v>964</v>
      </c>
      <c r="F1004" s="201" t="s">
        <v>247</v>
      </c>
      <c r="G1004" s="201" t="s">
        <v>164</v>
      </c>
    </row>
    <row r="1005" spans="1:7" x14ac:dyDescent="0.35">
      <c r="A1005" s="196"/>
      <c r="B1005" s="196"/>
      <c r="C1005" s="222">
        <f t="shared" si="314"/>
        <v>610</v>
      </c>
      <c r="D1005" s="201" t="s">
        <v>930</v>
      </c>
      <c r="E1005" s="201" t="s">
        <v>965</v>
      </c>
      <c r="F1005" s="201" t="s">
        <v>247</v>
      </c>
      <c r="G1005" s="201" t="s">
        <v>164</v>
      </c>
    </row>
    <row r="1006" spans="1:7" x14ac:dyDescent="0.35">
      <c r="A1006" s="196"/>
      <c r="B1006" s="196"/>
      <c r="C1006" s="222">
        <f t="shared" si="314"/>
        <v>610</v>
      </c>
      <c r="D1006" s="201" t="s">
        <v>931</v>
      </c>
      <c r="E1006" s="201" t="s">
        <v>966</v>
      </c>
      <c r="F1006" s="201" t="s">
        <v>247</v>
      </c>
      <c r="G1006" s="201" t="s">
        <v>164</v>
      </c>
    </row>
    <row r="1007" spans="1:7" x14ac:dyDescent="0.35">
      <c r="A1007" s="196"/>
      <c r="B1007" s="196"/>
      <c r="C1007" s="222">
        <f t="shared" si="314"/>
        <v>610</v>
      </c>
      <c r="D1007" s="201" t="s">
        <v>932</v>
      </c>
      <c r="E1007" s="201" t="s">
        <v>967</v>
      </c>
      <c r="F1007" s="201" t="s">
        <v>247</v>
      </c>
      <c r="G1007" s="201" t="s">
        <v>164</v>
      </c>
    </row>
    <row r="1008" spans="1:7" x14ac:dyDescent="0.35">
      <c r="A1008" s="196"/>
      <c r="B1008" s="196"/>
      <c r="C1008" s="222">
        <f>IF(B1008="",C1007,B1008)</f>
        <v>610</v>
      </c>
      <c r="D1008" s="201" t="s">
        <v>933</v>
      </c>
      <c r="E1008" s="201" t="s">
        <v>968</v>
      </c>
      <c r="F1008" s="201" t="s">
        <v>247</v>
      </c>
      <c r="G1008" s="201" t="s">
        <v>164</v>
      </c>
    </row>
    <row r="1009" spans="1:8" x14ac:dyDescent="0.35">
      <c r="A1009" s="196"/>
      <c r="B1009" s="196"/>
      <c r="C1009" s="223">
        <f>IF(B1009="",C1008,B1009)</f>
        <v>610</v>
      </c>
      <c r="D1009" s="269" t="s">
        <v>1078</v>
      </c>
      <c r="E1009" s="269" t="s">
        <v>1082</v>
      </c>
      <c r="F1009" s="269" t="s">
        <v>247</v>
      </c>
      <c r="G1009" s="201" t="s">
        <v>164</v>
      </c>
    </row>
    <row r="1010" spans="1:8" x14ac:dyDescent="0.35">
      <c r="A1010" s="200"/>
      <c r="C1010" s="222">
        <f>IF(B1010="",C1008,B1010)</f>
        <v>610</v>
      </c>
      <c r="D1010" s="196" t="s">
        <v>222</v>
      </c>
      <c r="E1010" s="259" t="s">
        <v>1048</v>
      </c>
      <c r="F1010" s="260" t="s">
        <v>219</v>
      </c>
      <c r="G1010" s="260" t="s">
        <v>217</v>
      </c>
      <c r="H1010">
        <f t="shared" ref="H1010" si="315">LEN(E1010)</f>
        <v>30</v>
      </c>
    </row>
    <row r="1011" spans="1:8" x14ac:dyDescent="0.35">
      <c r="A1011" s="200"/>
      <c r="C1011" s="222">
        <f t="shared" ref="C1011:C1015" si="316">IF(B1011="",C1010,B1011)</f>
        <v>610</v>
      </c>
      <c r="D1011" s="196" t="s">
        <v>303</v>
      </c>
      <c r="E1011" s="209" t="s">
        <v>355</v>
      </c>
      <c r="F1011" s="201" t="s">
        <v>247</v>
      </c>
      <c r="G1011" s="201" t="s">
        <v>164</v>
      </c>
    </row>
    <row r="1012" spans="1:8" x14ac:dyDescent="0.35">
      <c r="A1012" s="200"/>
      <c r="C1012" s="222">
        <f t="shared" si="316"/>
        <v>610</v>
      </c>
      <c r="D1012" s="196" t="s">
        <v>304</v>
      </c>
      <c r="E1012" s="209" t="s">
        <v>1049</v>
      </c>
      <c r="F1012" s="201" t="s">
        <v>247</v>
      </c>
      <c r="G1012" s="201" t="s">
        <v>164</v>
      </c>
    </row>
    <row r="1013" spans="1:8" x14ac:dyDescent="0.35">
      <c r="A1013" s="200"/>
      <c r="C1013" s="222">
        <f t="shared" si="316"/>
        <v>610</v>
      </c>
      <c r="D1013" s="196" t="s">
        <v>305</v>
      </c>
      <c r="E1013" s="209" t="s">
        <v>1050</v>
      </c>
      <c r="F1013" s="201" t="s">
        <v>247</v>
      </c>
      <c r="G1013" s="201" t="s">
        <v>164</v>
      </c>
    </row>
    <row r="1014" spans="1:8" x14ac:dyDescent="0.35">
      <c r="A1014" s="200"/>
      <c r="C1014" s="222">
        <f t="shared" si="316"/>
        <v>610</v>
      </c>
      <c r="D1014" s="196" t="s">
        <v>306</v>
      </c>
      <c r="E1014" s="209" t="s">
        <v>1051</v>
      </c>
      <c r="F1014" s="201" t="s">
        <v>247</v>
      </c>
      <c r="G1014" s="201" t="s">
        <v>164</v>
      </c>
    </row>
    <row r="1015" spans="1:8" x14ac:dyDescent="0.35">
      <c r="A1015" s="200"/>
      <c r="B1015" s="200"/>
      <c r="C1015" s="222">
        <f t="shared" si="316"/>
        <v>610</v>
      </c>
      <c r="D1015" s="196">
        <v>99</v>
      </c>
      <c r="E1015" s="209" t="s">
        <v>669</v>
      </c>
      <c r="F1015" s="196">
        <v>6</v>
      </c>
      <c r="G1015" s="196" t="s">
        <v>164</v>
      </c>
      <c r="H1015">
        <f t="shared" si="291"/>
        <v>25</v>
      </c>
    </row>
    <row r="1016" spans="1:8" x14ac:dyDescent="0.35">
      <c r="A1016" s="196" t="s">
        <v>213</v>
      </c>
      <c r="B1016" s="196" t="s">
        <v>428</v>
      </c>
      <c r="C1016" s="222" t="str">
        <f t="shared" ref="C1016:C1068" si="317">IF(B1016="",C1015,B1016)</f>
        <v>70</v>
      </c>
      <c r="D1016" s="196"/>
      <c r="E1016" s="204" t="s">
        <v>429</v>
      </c>
      <c r="F1016" s="196" t="s">
        <v>254</v>
      </c>
      <c r="G1016" s="196" t="s">
        <v>217</v>
      </c>
      <c r="H1016">
        <f t="shared" si="291"/>
        <v>23</v>
      </c>
    </row>
    <row r="1017" spans="1:8" x14ac:dyDescent="0.35">
      <c r="A1017" s="200" t="s">
        <v>213</v>
      </c>
      <c r="B1017" s="200" t="s">
        <v>430</v>
      </c>
      <c r="C1017" s="222" t="str">
        <f t="shared" si="317"/>
        <v>700</v>
      </c>
      <c r="D1017" s="200"/>
      <c r="E1017" s="206" t="s">
        <v>431</v>
      </c>
      <c r="F1017" s="200" t="s">
        <v>216</v>
      </c>
      <c r="G1017" s="200" t="s">
        <v>217</v>
      </c>
      <c r="H1017">
        <f t="shared" si="291"/>
        <v>14</v>
      </c>
    </row>
    <row r="1018" spans="1:8" x14ac:dyDescent="0.35">
      <c r="A1018" s="200"/>
      <c r="B1018" s="200"/>
      <c r="C1018" s="222" t="str">
        <f t="shared" si="317"/>
        <v>700</v>
      </c>
      <c r="D1018" s="196" t="s">
        <v>218</v>
      </c>
      <c r="E1018" s="210" t="s">
        <v>688</v>
      </c>
      <c r="F1018" s="196">
        <v>6</v>
      </c>
      <c r="G1018" s="196" t="s">
        <v>217</v>
      </c>
      <c r="H1018">
        <f t="shared" si="291"/>
        <v>30</v>
      </c>
    </row>
    <row r="1019" spans="1:8" x14ac:dyDescent="0.35">
      <c r="A1019" s="200"/>
      <c r="B1019" s="200"/>
      <c r="C1019" s="222" t="str">
        <f t="shared" si="317"/>
        <v>700</v>
      </c>
      <c r="D1019" s="202" t="s">
        <v>53</v>
      </c>
      <c r="E1019" s="216" t="s">
        <v>696</v>
      </c>
      <c r="F1019" s="202">
        <v>7</v>
      </c>
      <c r="G1019" s="202" t="s">
        <v>164</v>
      </c>
      <c r="H1019">
        <f t="shared" si="291"/>
        <v>30</v>
      </c>
    </row>
    <row r="1020" spans="1:8" x14ac:dyDescent="0.35">
      <c r="A1020" s="200"/>
      <c r="B1020" s="200"/>
      <c r="C1020" s="222" t="str">
        <f t="shared" si="317"/>
        <v>700</v>
      </c>
      <c r="D1020" s="202" t="s">
        <v>55</v>
      </c>
      <c r="E1020" s="216" t="s">
        <v>697</v>
      </c>
      <c r="F1020" s="202">
        <v>7</v>
      </c>
      <c r="G1020" s="202" t="s">
        <v>164</v>
      </c>
      <c r="H1020">
        <f t="shared" si="291"/>
        <v>30</v>
      </c>
    </row>
    <row r="1021" spans="1:8" x14ac:dyDescent="0.35">
      <c r="A1021" s="200"/>
      <c r="B1021" s="200"/>
      <c r="C1021" s="222" t="str">
        <f t="shared" ref="C1021" si="318">IF(B1021="",C1020,B1021)</f>
        <v>700</v>
      </c>
      <c r="D1021" s="202" t="s">
        <v>57</v>
      </c>
      <c r="E1021" s="216" t="s">
        <v>926</v>
      </c>
      <c r="F1021" s="202">
        <v>7</v>
      </c>
      <c r="G1021" s="202" t="s">
        <v>164</v>
      </c>
      <c r="H1021">
        <f t="shared" ref="H1021" si="319">LEN(E1021)</f>
        <v>31</v>
      </c>
    </row>
    <row r="1022" spans="1:8" x14ac:dyDescent="0.35">
      <c r="A1022" s="200"/>
      <c r="B1022" s="200"/>
      <c r="C1022" s="222" t="str">
        <f>IF(B1022="",C1020,B1022)</f>
        <v>700</v>
      </c>
      <c r="D1022" s="196" t="s">
        <v>221</v>
      </c>
      <c r="E1022" s="210" t="s">
        <v>432</v>
      </c>
      <c r="F1022" s="196">
        <v>6</v>
      </c>
      <c r="G1022" s="196" t="s">
        <v>217</v>
      </c>
      <c r="H1022">
        <f t="shared" si="291"/>
        <v>29</v>
      </c>
    </row>
    <row r="1023" spans="1:8" x14ac:dyDescent="0.35">
      <c r="A1023" s="200"/>
      <c r="B1023" s="200"/>
      <c r="C1023" s="222" t="str">
        <f t="shared" si="317"/>
        <v>700</v>
      </c>
      <c r="D1023" s="202" t="s">
        <v>272</v>
      </c>
      <c r="E1023" s="216" t="s">
        <v>559</v>
      </c>
      <c r="F1023" s="202">
        <v>7</v>
      </c>
      <c r="G1023" s="202" t="s">
        <v>164</v>
      </c>
      <c r="H1023">
        <f t="shared" si="291"/>
        <v>25</v>
      </c>
    </row>
    <row r="1024" spans="1:8" x14ac:dyDescent="0.35">
      <c r="A1024" s="200"/>
      <c r="B1024" s="200"/>
      <c r="C1024" s="222" t="str">
        <f t="shared" si="317"/>
        <v>700</v>
      </c>
      <c r="D1024" s="202" t="s">
        <v>275</v>
      </c>
      <c r="E1024" s="216" t="s">
        <v>629</v>
      </c>
      <c r="F1024" s="202">
        <v>7</v>
      </c>
      <c r="G1024" s="202" t="s">
        <v>164</v>
      </c>
      <c r="H1024">
        <f t="shared" si="291"/>
        <v>26</v>
      </c>
    </row>
    <row r="1025" spans="1:8" x14ac:dyDescent="0.35">
      <c r="A1025" s="200"/>
      <c r="B1025" s="200"/>
      <c r="C1025" s="222" t="str">
        <f t="shared" si="317"/>
        <v>700</v>
      </c>
      <c r="D1025" s="196" t="s">
        <v>222</v>
      </c>
      <c r="E1025" s="210" t="s">
        <v>433</v>
      </c>
      <c r="F1025" s="196">
        <v>6</v>
      </c>
      <c r="G1025" s="196" t="s">
        <v>217</v>
      </c>
      <c r="H1025">
        <f t="shared" si="291"/>
        <v>23</v>
      </c>
    </row>
    <row r="1026" spans="1:8" x14ac:dyDescent="0.35">
      <c r="A1026" s="200"/>
      <c r="C1026" s="222" t="str">
        <f t="shared" si="317"/>
        <v>700</v>
      </c>
      <c r="D1026" s="196" t="s">
        <v>303</v>
      </c>
      <c r="E1026" s="217" t="s">
        <v>689</v>
      </c>
      <c r="F1026" s="196">
        <v>7</v>
      </c>
      <c r="G1026" s="196" t="s">
        <v>217</v>
      </c>
      <c r="H1026" s="251">
        <f t="shared" si="291"/>
        <v>30</v>
      </c>
    </row>
    <row r="1027" spans="1:8" x14ac:dyDescent="0.35">
      <c r="A1027" s="200"/>
      <c r="C1027" s="222" t="str">
        <f t="shared" si="317"/>
        <v>700</v>
      </c>
      <c r="D1027" s="202" t="s">
        <v>813</v>
      </c>
      <c r="E1027" s="215" t="s">
        <v>815</v>
      </c>
      <c r="F1027" s="202" t="s">
        <v>248</v>
      </c>
      <c r="G1027" s="202" t="s">
        <v>164</v>
      </c>
      <c r="H1027">
        <f t="shared" si="291"/>
        <v>18</v>
      </c>
    </row>
    <row r="1028" spans="1:8" x14ac:dyDescent="0.35">
      <c r="A1028" s="200"/>
      <c r="C1028" s="222" t="str">
        <f t="shared" si="317"/>
        <v>700</v>
      </c>
      <c r="D1028" s="202" t="s">
        <v>814</v>
      </c>
      <c r="E1028" s="215" t="s">
        <v>816</v>
      </c>
      <c r="F1028" s="202" t="s">
        <v>248</v>
      </c>
      <c r="G1028" s="202" t="s">
        <v>164</v>
      </c>
      <c r="H1028">
        <f t="shared" si="291"/>
        <v>34</v>
      </c>
    </row>
    <row r="1029" spans="1:8" x14ac:dyDescent="0.35">
      <c r="A1029" s="200"/>
      <c r="C1029" s="222" t="str">
        <f t="shared" si="317"/>
        <v>700</v>
      </c>
      <c r="D1029" s="202" t="s">
        <v>304</v>
      </c>
      <c r="E1029" s="215" t="s">
        <v>690</v>
      </c>
      <c r="F1029" s="202">
        <v>7</v>
      </c>
      <c r="G1029" s="202" t="s">
        <v>164</v>
      </c>
      <c r="H1029">
        <f t="shared" si="291"/>
        <v>30</v>
      </c>
    </row>
    <row r="1030" spans="1:8" x14ac:dyDescent="0.35">
      <c r="A1030" s="200"/>
      <c r="C1030" s="222" t="str">
        <f t="shared" si="317"/>
        <v>700</v>
      </c>
      <c r="D1030" s="202" t="s">
        <v>305</v>
      </c>
      <c r="E1030" s="215" t="s">
        <v>658</v>
      </c>
      <c r="F1030" s="202">
        <v>7</v>
      </c>
      <c r="G1030" s="202" t="s">
        <v>164</v>
      </c>
      <c r="H1030">
        <f t="shared" si="291"/>
        <v>30</v>
      </c>
    </row>
    <row r="1031" spans="1:8" x14ac:dyDescent="0.35">
      <c r="A1031" s="200"/>
      <c r="C1031" s="223" t="str">
        <f t="shared" ref="C1031" si="320">IF(B1031="",C1030,B1031)</f>
        <v>700</v>
      </c>
      <c r="D1031" s="224" t="s">
        <v>223</v>
      </c>
      <c r="E1031" s="273" t="s">
        <v>1171</v>
      </c>
      <c r="F1031" s="224">
        <v>6</v>
      </c>
      <c r="G1031" s="224" t="s">
        <v>217</v>
      </c>
      <c r="H1031" s="16">
        <f t="shared" ref="H1031" si="321">LEN(E1031)</f>
        <v>31</v>
      </c>
    </row>
    <row r="1032" spans="1:8" x14ac:dyDescent="0.35">
      <c r="A1032" s="200"/>
      <c r="C1032" s="223" t="str">
        <f t="shared" ref="C1032" si="322">IF(B1032="",C1030,B1032)</f>
        <v>700</v>
      </c>
      <c r="D1032" s="233" t="s">
        <v>362</v>
      </c>
      <c r="E1032" s="234" t="s">
        <v>1172</v>
      </c>
      <c r="F1032" s="233">
        <v>7</v>
      </c>
      <c r="G1032" s="233" t="s">
        <v>164</v>
      </c>
      <c r="H1032" s="16">
        <f t="shared" ref="H1032" si="323">LEN(E1032)</f>
        <v>39</v>
      </c>
    </row>
    <row r="1033" spans="1:8" x14ac:dyDescent="0.35">
      <c r="A1033" s="200" t="s">
        <v>213</v>
      </c>
      <c r="B1033" s="200" t="s">
        <v>434</v>
      </c>
      <c r="C1033" s="222" t="str">
        <f>IF(B1033="",C1030,B1033)</f>
        <v>710</v>
      </c>
      <c r="D1033" s="200"/>
      <c r="E1033" s="206" t="s">
        <v>435</v>
      </c>
      <c r="F1033" s="200" t="s">
        <v>216</v>
      </c>
      <c r="G1033" s="200" t="s">
        <v>217</v>
      </c>
      <c r="H1033">
        <f t="shared" si="291"/>
        <v>12</v>
      </c>
    </row>
    <row r="1034" spans="1:8" x14ac:dyDescent="0.35">
      <c r="A1034" s="200"/>
      <c r="B1034" s="200"/>
      <c r="C1034" s="222" t="str">
        <f t="shared" si="317"/>
        <v>710</v>
      </c>
      <c r="D1034" s="196" t="s">
        <v>218</v>
      </c>
      <c r="E1034" s="221" t="s">
        <v>691</v>
      </c>
      <c r="F1034" s="196">
        <v>6</v>
      </c>
      <c r="G1034" s="196" t="s">
        <v>164</v>
      </c>
      <c r="H1034">
        <f t="shared" si="291"/>
        <v>29</v>
      </c>
    </row>
    <row r="1035" spans="1:8" x14ac:dyDescent="0.35">
      <c r="A1035" s="200"/>
      <c r="B1035" s="200"/>
      <c r="C1035" s="222" t="str">
        <f t="shared" si="317"/>
        <v>710</v>
      </c>
      <c r="D1035" s="196" t="s">
        <v>221</v>
      </c>
      <c r="E1035" s="221" t="s">
        <v>670</v>
      </c>
      <c r="F1035" s="196">
        <v>6</v>
      </c>
      <c r="G1035" s="196" t="s">
        <v>164</v>
      </c>
      <c r="H1035">
        <f t="shared" si="291"/>
        <v>21</v>
      </c>
    </row>
    <row r="1036" spans="1:8" x14ac:dyDescent="0.35">
      <c r="A1036" s="200"/>
      <c r="B1036" s="200"/>
      <c r="C1036" s="222" t="str">
        <f t="shared" si="317"/>
        <v>710</v>
      </c>
      <c r="D1036" s="196" t="s">
        <v>222</v>
      </c>
      <c r="E1036" s="221" t="s">
        <v>537</v>
      </c>
      <c r="F1036" s="196">
        <v>6</v>
      </c>
      <c r="G1036" s="196" t="s">
        <v>164</v>
      </c>
      <c r="H1036">
        <f t="shared" si="291"/>
        <v>8</v>
      </c>
    </row>
    <row r="1037" spans="1:8" ht="16.5" customHeight="1" x14ac:dyDescent="0.35">
      <c r="A1037" s="196" t="s">
        <v>213</v>
      </c>
      <c r="B1037" s="196" t="s">
        <v>436</v>
      </c>
      <c r="C1037" s="222" t="str">
        <f t="shared" si="317"/>
        <v>80</v>
      </c>
      <c r="D1037" s="196"/>
      <c r="E1037" s="204" t="s">
        <v>692</v>
      </c>
      <c r="F1037" s="196" t="s">
        <v>254</v>
      </c>
      <c r="G1037" s="196" t="s">
        <v>217</v>
      </c>
      <c r="H1037">
        <f t="shared" si="291"/>
        <v>29</v>
      </c>
    </row>
    <row r="1038" spans="1:8" x14ac:dyDescent="0.35">
      <c r="A1038" s="200" t="s">
        <v>213</v>
      </c>
      <c r="B1038" s="200" t="s">
        <v>437</v>
      </c>
      <c r="C1038" s="222" t="str">
        <f t="shared" si="317"/>
        <v>800</v>
      </c>
      <c r="D1038" s="200"/>
      <c r="E1038" s="206" t="s">
        <v>693</v>
      </c>
      <c r="F1038" s="200" t="s">
        <v>216</v>
      </c>
      <c r="G1038" s="200" t="s">
        <v>217</v>
      </c>
      <c r="H1038">
        <f t="shared" si="291"/>
        <v>27</v>
      </c>
    </row>
    <row r="1039" spans="1:8" x14ac:dyDescent="0.35">
      <c r="A1039" s="200"/>
      <c r="B1039" s="200"/>
      <c r="C1039" s="222" t="str">
        <f t="shared" si="317"/>
        <v>800</v>
      </c>
      <c r="D1039" s="196" t="s">
        <v>218</v>
      </c>
      <c r="E1039" s="211" t="s">
        <v>438</v>
      </c>
      <c r="F1039" s="196">
        <v>6</v>
      </c>
      <c r="G1039" s="196" t="s">
        <v>217</v>
      </c>
      <c r="H1039">
        <f t="shared" si="291"/>
        <v>21</v>
      </c>
    </row>
    <row r="1040" spans="1:8" x14ac:dyDescent="0.35">
      <c r="A1040" s="200"/>
      <c r="B1040" s="200"/>
      <c r="C1040" s="222" t="str">
        <f t="shared" si="317"/>
        <v>800</v>
      </c>
      <c r="D1040" s="196" t="s">
        <v>53</v>
      </c>
      <c r="E1040" s="217" t="s">
        <v>439</v>
      </c>
      <c r="F1040" s="196">
        <v>7</v>
      </c>
      <c r="G1040" s="196" t="s">
        <v>217</v>
      </c>
      <c r="H1040">
        <f t="shared" si="291"/>
        <v>17</v>
      </c>
    </row>
    <row r="1041" spans="1:8" x14ac:dyDescent="0.35">
      <c r="A1041" s="200"/>
      <c r="B1041" s="200"/>
      <c r="C1041" s="222" t="str">
        <f t="shared" si="317"/>
        <v>800</v>
      </c>
      <c r="D1041" s="202" t="s">
        <v>262</v>
      </c>
      <c r="E1041" s="220" t="s">
        <v>560</v>
      </c>
      <c r="F1041" s="201">
        <v>8</v>
      </c>
      <c r="G1041" s="201" t="s">
        <v>164</v>
      </c>
      <c r="H1041">
        <f t="shared" si="291"/>
        <v>24</v>
      </c>
    </row>
    <row r="1042" spans="1:8" x14ac:dyDescent="0.35">
      <c r="A1042" s="200"/>
      <c r="B1042" s="200"/>
      <c r="C1042" s="222" t="str">
        <f t="shared" si="317"/>
        <v>800</v>
      </c>
      <c r="D1042" s="202" t="s">
        <v>263</v>
      </c>
      <c r="E1042" s="220" t="s">
        <v>561</v>
      </c>
      <c r="F1042" s="201">
        <v>8</v>
      </c>
      <c r="G1042" s="201" t="s">
        <v>164</v>
      </c>
      <c r="H1042">
        <f t="shared" si="291"/>
        <v>23</v>
      </c>
    </row>
    <row r="1043" spans="1:8" x14ac:dyDescent="0.35">
      <c r="A1043" s="200"/>
      <c r="B1043" s="200"/>
      <c r="C1043" s="222" t="str">
        <f t="shared" si="317"/>
        <v>800</v>
      </c>
      <c r="D1043" s="196" t="s">
        <v>55</v>
      </c>
      <c r="E1043" s="217" t="s">
        <v>440</v>
      </c>
      <c r="F1043" s="196">
        <v>7</v>
      </c>
      <c r="G1043" s="196" t="s">
        <v>217</v>
      </c>
      <c r="H1043">
        <f t="shared" si="291"/>
        <v>18</v>
      </c>
    </row>
    <row r="1044" spans="1:8" ht="16.5" customHeight="1" x14ac:dyDescent="0.35">
      <c r="A1044" s="200"/>
      <c r="B1044" s="200"/>
      <c r="C1044" s="222" t="str">
        <f t="shared" si="317"/>
        <v>800</v>
      </c>
      <c r="D1044" s="202" t="s">
        <v>266</v>
      </c>
      <c r="E1044" s="220" t="s">
        <v>562</v>
      </c>
      <c r="F1044" s="201">
        <v>8</v>
      </c>
      <c r="G1044" s="201" t="s">
        <v>164</v>
      </c>
      <c r="H1044">
        <f t="shared" ref="H1044:H1068" si="324">LEN(E1044)</f>
        <v>28</v>
      </c>
    </row>
    <row r="1045" spans="1:8" x14ac:dyDescent="0.35">
      <c r="A1045" s="200"/>
      <c r="B1045" s="200"/>
      <c r="C1045" s="222" t="str">
        <f t="shared" si="317"/>
        <v>800</v>
      </c>
      <c r="D1045" s="202" t="s">
        <v>267</v>
      </c>
      <c r="E1045" s="220" t="s">
        <v>694</v>
      </c>
      <c r="F1045" s="201">
        <v>8</v>
      </c>
      <c r="G1045" s="201" t="s">
        <v>164</v>
      </c>
      <c r="H1045">
        <f t="shared" si="324"/>
        <v>29</v>
      </c>
    </row>
    <row r="1046" spans="1:8" x14ac:dyDescent="0.35">
      <c r="A1046" s="200"/>
      <c r="B1046" s="200"/>
      <c r="C1046" s="222" t="str">
        <f t="shared" si="317"/>
        <v>800</v>
      </c>
      <c r="D1046" s="202" t="s">
        <v>268</v>
      </c>
      <c r="E1046" s="220" t="s">
        <v>820</v>
      </c>
      <c r="F1046" s="201">
        <v>8</v>
      </c>
      <c r="G1046" s="201" t="s">
        <v>164</v>
      </c>
      <c r="H1046">
        <f t="shared" ref="H1046" si="325">LEN(E1046)</f>
        <v>38</v>
      </c>
    </row>
    <row r="1047" spans="1:8" x14ac:dyDescent="0.35">
      <c r="A1047" s="200"/>
      <c r="C1047" s="222" t="str">
        <f t="shared" si="317"/>
        <v>800</v>
      </c>
      <c r="D1047" s="200" t="s">
        <v>221</v>
      </c>
      <c r="E1047" s="212" t="s">
        <v>441</v>
      </c>
      <c r="F1047" s="200">
        <v>6</v>
      </c>
      <c r="G1047" s="200" t="s">
        <v>217</v>
      </c>
      <c r="H1047">
        <f t="shared" si="324"/>
        <v>18</v>
      </c>
    </row>
    <row r="1048" spans="1:8" x14ac:dyDescent="0.35">
      <c r="A1048" s="200"/>
      <c r="C1048" s="222" t="str">
        <f t="shared" si="317"/>
        <v>800</v>
      </c>
      <c r="D1048" s="196" t="s">
        <v>272</v>
      </c>
      <c r="E1048" s="217" t="s">
        <v>442</v>
      </c>
      <c r="F1048" s="196">
        <v>7</v>
      </c>
      <c r="G1048" s="196" t="s">
        <v>217</v>
      </c>
      <c r="H1048">
        <f t="shared" si="324"/>
        <v>17</v>
      </c>
    </row>
    <row r="1049" spans="1:8" x14ac:dyDescent="0.35">
      <c r="A1049" s="200"/>
      <c r="C1049" s="222" t="str">
        <f t="shared" si="317"/>
        <v>800</v>
      </c>
      <c r="D1049" s="202" t="s">
        <v>274</v>
      </c>
      <c r="E1049" s="220" t="s">
        <v>563</v>
      </c>
      <c r="F1049" s="201">
        <v>8</v>
      </c>
      <c r="G1049" s="201" t="s">
        <v>164</v>
      </c>
      <c r="H1049">
        <f t="shared" si="324"/>
        <v>24</v>
      </c>
    </row>
    <row r="1050" spans="1:8" x14ac:dyDescent="0.35">
      <c r="A1050" s="200"/>
      <c r="C1050" s="222" t="str">
        <f t="shared" si="317"/>
        <v>800</v>
      </c>
      <c r="D1050" s="202" t="s">
        <v>443</v>
      </c>
      <c r="E1050" s="220" t="s">
        <v>564</v>
      </c>
      <c r="F1050" s="201">
        <v>8</v>
      </c>
      <c r="G1050" s="201" t="s">
        <v>164</v>
      </c>
      <c r="H1050">
        <f t="shared" si="324"/>
        <v>23</v>
      </c>
    </row>
    <row r="1051" spans="1:8" x14ac:dyDescent="0.35">
      <c r="A1051" s="200"/>
      <c r="C1051" s="222" t="str">
        <f t="shared" si="317"/>
        <v>800</v>
      </c>
      <c r="D1051" s="196" t="s">
        <v>275</v>
      </c>
      <c r="E1051" s="217" t="s">
        <v>444</v>
      </c>
      <c r="F1051" s="196">
        <v>7</v>
      </c>
      <c r="G1051" s="196" t="s">
        <v>217</v>
      </c>
      <c r="H1051">
        <f t="shared" si="324"/>
        <v>19</v>
      </c>
    </row>
    <row r="1052" spans="1:8" x14ac:dyDescent="0.35">
      <c r="A1052" s="200"/>
      <c r="C1052" s="222" t="str">
        <f t="shared" si="317"/>
        <v>800</v>
      </c>
      <c r="D1052" s="202" t="s">
        <v>277</v>
      </c>
      <c r="E1052" s="220" t="s">
        <v>565</v>
      </c>
      <c r="F1052" s="201">
        <v>8</v>
      </c>
      <c r="G1052" s="201" t="s">
        <v>164</v>
      </c>
      <c r="H1052">
        <f t="shared" si="324"/>
        <v>30</v>
      </c>
    </row>
    <row r="1053" spans="1:8" x14ac:dyDescent="0.35">
      <c r="A1053" s="200"/>
      <c r="C1053" s="222" t="str">
        <f t="shared" si="317"/>
        <v>800</v>
      </c>
      <c r="D1053" s="202" t="s">
        <v>445</v>
      </c>
      <c r="E1053" s="220" t="s">
        <v>695</v>
      </c>
      <c r="F1053" s="201">
        <v>8</v>
      </c>
      <c r="G1053" s="201" t="s">
        <v>164</v>
      </c>
      <c r="H1053">
        <f t="shared" si="324"/>
        <v>30</v>
      </c>
    </row>
    <row r="1054" spans="1:8" x14ac:dyDescent="0.35">
      <c r="A1054" s="200"/>
      <c r="C1054" s="222" t="str">
        <f t="shared" si="317"/>
        <v>800</v>
      </c>
      <c r="D1054" s="202" t="s">
        <v>821</v>
      </c>
      <c r="E1054" s="220" t="s">
        <v>822</v>
      </c>
      <c r="F1054" s="201">
        <v>8</v>
      </c>
      <c r="G1054" s="201" t="s">
        <v>164</v>
      </c>
      <c r="H1054">
        <f t="shared" ref="H1054:H1057" si="326">LEN(E1054)</f>
        <v>37</v>
      </c>
    </row>
    <row r="1055" spans="1:8" x14ac:dyDescent="0.35">
      <c r="A1055" s="200"/>
      <c r="C1055" s="222" t="str">
        <f t="shared" ref="C1055:C1057" si="327">IF(B1055="",C1054,B1055)</f>
        <v>800</v>
      </c>
      <c r="D1055" s="196" t="s">
        <v>278</v>
      </c>
      <c r="E1055" s="217" t="s">
        <v>909</v>
      </c>
      <c r="F1055" s="196">
        <v>7</v>
      </c>
      <c r="G1055" s="196" t="s">
        <v>164</v>
      </c>
      <c r="H1055">
        <f t="shared" si="326"/>
        <v>20</v>
      </c>
    </row>
    <row r="1056" spans="1:8" x14ac:dyDescent="0.35">
      <c r="A1056" s="200"/>
      <c r="C1056" s="223" t="str">
        <f t="shared" si="327"/>
        <v>800</v>
      </c>
      <c r="D1056" s="255" t="s">
        <v>222</v>
      </c>
      <c r="E1056" s="256" t="s">
        <v>921</v>
      </c>
      <c r="F1056" s="200">
        <v>6</v>
      </c>
      <c r="G1056" s="200" t="s">
        <v>217</v>
      </c>
      <c r="H1056">
        <f t="shared" si="326"/>
        <v>37</v>
      </c>
    </row>
    <row r="1057" spans="1:8" x14ac:dyDescent="0.35">
      <c r="A1057" s="200"/>
      <c r="C1057" s="223" t="str">
        <f t="shared" si="327"/>
        <v>800</v>
      </c>
      <c r="D1057" s="224" t="s">
        <v>303</v>
      </c>
      <c r="E1057" s="235" t="s">
        <v>922</v>
      </c>
      <c r="F1057" s="196">
        <v>7</v>
      </c>
      <c r="G1057" s="196" t="s">
        <v>217</v>
      </c>
      <c r="H1057">
        <f t="shared" si="326"/>
        <v>35</v>
      </c>
    </row>
    <row r="1058" spans="1:8" x14ac:dyDescent="0.35">
      <c r="A1058" s="200"/>
      <c r="B1058" s="200"/>
      <c r="C1058" s="222" t="str">
        <f>IF(B1058="",C1054,B1058)</f>
        <v>800</v>
      </c>
      <c r="D1058" s="196" t="s">
        <v>286</v>
      </c>
      <c r="E1058" s="221" t="s">
        <v>671</v>
      </c>
      <c r="F1058" s="196">
        <v>6</v>
      </c>
      <c r="G1058" s="196" t="s">
        <v>164</v>
      </c>
      <c r="H1058">
        <f t="shared" si="324"/>
        <v>30</v>
      </c>
    </row>
    <row r="1059" spans="1:8" x14ac:dyDescent="0.35">
      <c r="A1059" s="196" t="s">
        <v>213</v>
      </c>
      <c r="B1059" s="196" t="s">
        <v>249</v>
      </c>
      <c r="C1059" s="222" t="str">
        <f t="shared" si="317"/>
        <v>90</v>
      </c>
      <c r="D1059" s="196"/>
      <c r="E1059" s="204" t="s">
        <v>446</v>
      </c>
      <c r="F1059" s="196" t="s">
        <v>254</v>
      </c>
      <c r="G1059" s="196" t="s">
        <v>217</v>
      </c>
      <c r="H1059">
        <f t="shared" si="324"/>
        <v>17</v>
      </c>
    </row>
    <row r="1060" spans="1:8" x14ac:dyDescent="0.35">
      <c r="A1060" s="200" t="s">
        <v>213</v>
      </c>
      <c r="B1060" s="200" t="s">
        <v>447</v>
      </c>
      <c r="C1060" s="222" t="str">
        <f t="shared" si="317"/>
        <v>900</v>
      </c>
      <c r="D1060" s="200"/>
      <c r="E1060" s="206" t="s">
        <v>446</v>
      </c>
      <c r="F1060" s="200" t="s">
        <v>216</v>
      </c>
      <c r="G1060" s="200" t="s">
        <v>217</v>
      </c>
      <c r="H1060">
        <f t="shared" si="324"/>
        <v>17</v>
      </c>
    </row>
    <row r="1061" spans="1:8" x14ac:dyDescent="0.35">
      <c r="A1061" s="196"/>
      <c r="B1061" s="196"/>
      <c r="C1061" s="222" t="str">
        <f t="shared" si="317"/>
        <v>900</v>
      </c>
      <c r="D1061" s="196" t="s">
        <v>218</v>
      </c>
      <c r="E1061" s="210" t="s">
        <v>448</v>
      </c>
      <c r="F1061" s="196">
        <v>6</v>
      </c>
      <c r="G1061" s="196" t="s">
        <v>217</v>
      </c>
      <c r="H1061">
        <f t="shared" si="324"/>
        <v>30</v>
      </c>
    </row>
    <row r="1062" spans="1:8" x14ac:dyDescent="0.35">
      <c r="A1062" s="196"/>
      <c r="B1062" s="196"/>
      <c r="C1062" s="222" t="str">
        <f t="shared" si="317"/>
        <v>900</v>
      </c>
      <c r="D1062" s="202" t="s">
        <v>53</v>
      </c>
      <c r="E1062" s="218" t="s">
        <v>566</v>
      </c>
      <c r="F1062" s="202">
        <v>7</v>
      </c>
      <c r="G1062" s="202" t="s">
        <v>164</v>
      </c>
      <c r="H1062">
        <f t="shared" si="324"/>
        <v>30</v>
      </c>
    </row>
    <row r="1063" spans="1:8" x14ac:dyDescent="0.35">
      <c r="A1063" s="196"/>
      <c r="B1063" s="196"/>
      <c r="C1063" s="222" t="str">
        <f t="shared" si="317"/>
        <v>900</v>
      </c>
      <c r="D1063" s="202" t="s">
        <v>55</v>
      </c>
      <c r="E1063" s="218" t="s">
        <v>630</v>
      </c>
      <c r="F1063" s="202" t="s">
        <v>247</v>
      </c>
      <c r="G1063" s="202" t="s">
        <v>164</v>
      </c>
      <c r="H1063">
        <f t="shared" si="324"/>
        <v>24</v>
      </c>
    </row>
    <row r="1064" spans="1:8" x14ac:dyDescent="0.35">
      <c r="A1064" s="196"/>
      <c r="B1064" s="196"/>
      <c r="C1064" s="222" t="str">
        <f t="shared" si="317"/>
        <v>900</v>
      </c>
      <c r="D1064" s="196" t="s">
        <v>221</v>
      </c>
      <c r="E1064" s="210" t="s">
        <v>449</v>
      </c>
      <c r="F1064" s="196" t="s">
        <v>219</v>
      </c>
      <c r="G1064" s="196" t="s">
        <v>217</v>
      </c>
      <c r="H1064">
        <f t="shared" si="324"/>
        <v>22</v>
      </c>
    </row>
    <row r="1065" spans="1:8" x14ac:dyDescent="0.35">
      <c r="A1065" s="200"/>
      <c r="B1065" s="196"/>
      <c r="C1065" s="222" t="str">
        <f t="shared" si="317"/>
        <v>900</v>
      </c>
      <c r="D1065" s="202" t="s">
        <v>272</v>
      </c>
      <c r="E1065" s="215" t="s">
        <v>645</v>
      </c>
      <c r="F1065" s="202" t="s">
        <v>247</v>
      </c>
      <c r="G1065" s="202" t="s">
        <v>164</v>
      </c>
      <c r="H1065">
        <f t="shared" si="324"/>
        <v>17</v>
      </c>
    </row>
    <row r="1066" spans="1:8" x14ac:dyDescent="0.35">
      <c r="A1066" s="200"/>
      <c r="C1066" s="222" t="str">
        <f t="shared" si="317"/>
        <v>900</v>
      </c>
      <c r="D1066" s="202" t="s">
        <v>275</v>
      </c>
      <c r="E1066" s="215" t="s">
        <v>646</v>
      </c>
      <c r="F1066" s="202">
        <v>7</v>
      </c>
      <c r="G1066" s="202" t="s">
        <v>164</v>
      </c>
      <c r="H1066">
        <f t="shared" si="324"/>
        <v>18</v>
      </c>
    </row>
    <row r="1067" spans="1:8" x14ac:dyDescent="0.35">
      <c r="A1067" s="200"/>
      <c r="B1067" s="200"/>
      <c r="C1067" s="222" t="str">
        <f t="shared" si="317"/>
        <v>900</v>
      </c>
      <c r="D1067" s="196" t="s">
        <v>222</v>
      </c>
      <c r="E1067" s="221" t="s">
        <v>672</v>
      </c>
      <c r="F1067" s="196" t="s">
        <v>219</v>
      </c>
      <c r="G1067" s="196" t="s">
        <v>164</v>
      </c>
      <c r="H1067">
        <f t="shared" si="324"/>
        <v>17</v>
      </c>
    </row>
    <row r="1068" spans="1:8" x14ac:dyDescent="0.35">
      <c r="A1068" s="200"/>
      <c r="B1068" s="200"/>
      <c r="C1068" s="222" t="str">
        <f t="shared" si="317"/>
        <v>900</v>
      </c>
      <c r="D1068" s="196" t="s">
        <v>223</v>
      </c>
      <c r="E1068" s="221" t="s">
        <v>673</v>
      </c>
      <c r="F1068" s="196" t="s">
        <v>219</v>
      </c>
      <c r="G1068" s="196" t="s">
        <v>164</v>
      </c>
      <c r="H1068">
        <f t="shared" si="324"/>
        <v>20</v>
      </c>
    </row>
    <row r="1069" spans="1:8" x14ac:dyDescent="0.35">
      <c r="C1069" s="222" t="str">
        <f t="shared" ref="C1069:C1072" si="328">IF(B1069="",C1068,B1069)</f>
        <v>900</v>
      </c>
      <c r="D1069" s="196" t="s">
        <v>224</v>
      </c>
      <c r="E1069" s="210" t="s">
        <v>1187</v>
      </c>
      <c r="F1069" s="196" t="s">
        <v>219</v>
      </c>
      <c r="G1069" s="196" t="s">
        <v>217</v>
      </c>
      <c r="H1069">
        <f t="shared" ref="H1069:H1070" si="329">LEN(E1069)</f>
        <v>19</v>
      </c>
    </row>
    <row r="1070" spans="1:8" x14ac:dyDescent="0.35">
      <c r="C1070" s="222" t="str">
        <f t="shared" si="328"/>
        <v>900</v>
      </c>
      <c r="D1070" s="202" t="s">
        <v>367</v>
      </c>
      <c r="E1070" s="215" t="s">
        <v>662</v>
      </c>
      <c r="F1070" s="202" t="s">
        <v>247</v>
      </c>
      <c r="G1070" s="202" t="s">
        <v>164</v>
      </c>
      <c r="H1070">
        <f t="shared" si="329"/>
        <v>12</v>
      </c>
    </row>
    <row r="1071" spans="1:8" x14ac:dyDescent="0.35">
      <c r="C1071" s="222" t="str">
        <f t="shared" si="328"/>
        <v>900</v>
      </c>
      <c r="D1071" s="202" t="s">
        <v>371</v>
      </c>
      <c r="E1071" s="215" t="s">
        <v>1188</v>
      </c>
      <c r="F1071" s="202" t="s">
        <v>247</v>
      </c>
      <c r="G1071" s="202" t="s">
        <v>164</v>
      </c>
      <c r="H1071">
        <f t="shared" ref="H1071:H1072" si="330">LEN(E1071)</f>
        <v>12</v>
      </c>
    </row>
    <row r="1072" spans="1:8" x14ac:dyDescent="0.35">
      <c r="A1072" s="200"/>
      <c r="B1072" s="200"/>
      <c r="C1072" s="222" t="str">
        <f t="shared" si="328"/>
        <v>900</v>
      </c>
      <c r="D1072" s="196" t="s">
        <v>225</v>
      </c>
      <c r="E1072" s="221" t="s">
        <v>1189</v>
      </c>
      <c r="F1072" s="196" t="s">
        <v>219</v>
      </c>
      <c r="G1072" s="196" t="s">
        <v>164</v>
      </c>
      <c r="H1072">
        <f t="shared" si="330"/>
        <v>22</v>
      </c>
    </row>
    <row r="1073" spans="1:5" x14ac:dyDescent="0.35">
      <c r="E1073" s="201"/>
    </row>
    <row r="1074" spans="1:5" x14ac:dyDescent="0.35">
      <c r="E1074" s="201"/>
    </row>
    <row r="1075" spans="1:5" x14ac:dyDescent="0.35">
      <c r="E1075" s="201"/>
    </row>
    <row r="1076" spans="1:5" x14ac:dyDescent="0.35">
      <c r="E1076" s="201"/>
    </row>
    <row r="1077" spans="1:5" x14ac:dyDescent="0.35">
      <c r="E1077" s="201"/>
    </row>
    <row r="1078" spans="1:5" x14ac:dyDescent="0.35">
      <c r="E1078" s="201"/>
    </row>
    <row r="1079" spans="1:5" x14ac:dyDescent="0.35">
      <c r="E1079" s="201"/>
    </row>
    <row r="1080" spans="1:5" x14ac:dyDescent="0.35">
      <c r="E1080" s="201"/>
    </row>
    <row r="1081" spans="1:5" x14ac:dyDescent="0.35">
      <c r="E1081" s="201"/>
    </row>
    <row r="1082" spans="1:5" x14ac:dyDescent="0.35">
      <c r="E1082" s="201"/>
    </row>
    <row r="1083" spans="1:5" x14ac:dyDescent="0.35">
      <c r="E1083" s="201"/>
    </row>
    <row r="1084" spans="1:5" x14ac:dyDescent="0.35">
      <c r="A1084"/>
      <c r="B1084"/>
      <c r="C1084"/>
      <c r="D1084"/>
      <c r="E1084" s="201"/>
    </row>
    <row r="1085" spans="1:5" x14ac:dyDescent="0.35">
      <c r="A1085"/>
      <c r="B1085"/>
      <c r="C1085"/>
      <c r="D1085"/>
      <c r="E1085" s="201"/>
    </row>
    <row r="1086" spans="1:5" x14ac:dyDescent="0.35">
      <c r="A1086"/>
      <c r="B1086"/>
      <c r="C1086"/>
      <c r="D1086"/>
      <c r="E1086" s="201"/>
    </row>
    <row r="1087" spans="1:5" x14ac:dyDescent="0.35">
      <c r="A1087"/>
      <c r="B1087"/>
      <c r="C1087"/>
      <c r="D1087"/>
      <c r="E1087" s="201"/>
    </row>
    <row r="1088" spans="1:5" x14ac:dyDescent="0.35">
      <c r="A1088"/>
      <c r="B1088"/>
      <c r="C1088"/>
      <c r="D1088"/>
      <c r="E1088" s="201"/>
    </row>
    <row r="1089" spans="1:5" x14ac:dyDescent="0.35">
      <c r="A1089"/>
      <c r="B1089"/>
      <c r="C1089"/>
      <c r="D1089"/>
      <c r="E1089" s="201"/>
    </row>
    <row r="1090" spans="1:5" x14ac:dyDescent="0.35">
      <c r="A1090"/>
      <c r="B1090"/>
      <c r="C1090"/>
      <c r="D1090"/>
      <c r="E1090" s="201"/>
    </row>
    <row r="1091" spans="1:5" x14ac:dyDescent="0.35">
      <c r="A1091"/>
      <c r="B1091"/>
      <c r="C1091"/>
      <c r="D1091"/>
      <c r="E1091" s="201"/>
    </row>
    <row r="1092" spans="1:5" x14ac:dyDescent="0.35">
      <c r="A1092"/>
      <c r="B1092"/>
      <c r="C1092"/>
      <c r="D1092"/>
      <c r="E1092" s="201"/>
    </row>
    <row r="1093" spans="1:5" x14ac:dyDescent="0.35">
      <c r="A1093"/>
      <c r="B1093"/>
      <c r="C1093"/>
      <c r="D1093"/>
      <c r="E1093" s="201"/>
    </row>
    <row r="1094" spans="1:5" x14ac:dyDescent="0.35">
      <c r="A1094"/>
      <c r="B1094"/>
      <c r="C1094"/>
      <c r="D1094"/>
      <c r="E1094" s="201"/>
    </row>
    <row r="1095" spans="1:5" x14ac:dyDescent="0.35">
      <c r="A1095"/>
      <c r="B1095"/>
      <c r="C1095"/>
      <c r="D1095"/>
      <c r="E1095" s="201"/>
    </row>
    <row r="1096" spans="1:5" x14ac:dyDescent="0.35">
      <c r="A1096"/>
      <c r="B1096"/>
      <c r="C1096"/>
      <c r="D1096"/>
      <c r="E1096" s="201"/>
    </row>
    <row r="1097" spans="1:5" x14ac:dyDescent="0.35">
      <c r="A1097"/>
      <c r="B1097"/>
      <c r="C1097"/>
      <c r="D1097"/>
      <c r="E1097" s="201"/>
    </row>
    <row r="1098" spans="1:5" x14ac:dyDescent="0.35">
      <c r="A1098"/>
      <c r="B1098"/>
      <c r="C1098"/>
      <c r="D1098"/>
      <c r="E1098" s="201"/>
    </row>
    <row r="1099" spans="1:5" x14ac:dyDescent="0.35">
      <c r="A1099"/>
      <c r="B1099"/>
      <c r="C1099"/>
      <c r="D1099"/>
      <c r="E1099" s="201"/>
    </row>
    <row r="1100" spans="1:5" x14ac:dyDescent="0.35">
      <c r="A1100"/>
      <c r="B1100"/>
      <c r="C1100"/>
      <c r="D1100"/>
      <c r="E1100" s="201"/>
    </row>
    <row r="1101" spans="1:5" x14ac:dyDescent="0.35">
      <c r="A1101"/>
      <c r="B1101"/>
      <c r="C1101"/>
      <c r="D1101"/>
      <c r="E1101" s="201"/>
    </row>
    <row r="1102" spans="1:5" x14ac:dyDescent="0.35">
      <c r="A1102"/>
      <c r="B1102"/>
      <c r="C1102"/>
      <c r="D1102"/>
      <c r="E1102" s="201"/>
    </row>
    <row r="1103" spans="1:5" x14ac:dyDescent="0.35">
      <c r="A1103"/>
      <c r="B1103"/>
      <c r="C1103"/>
      <c r="D1103"/>
      <c r="E1103" s="201"/>
    </row>
    <row r="1104" spans="1:5" x14ac:dyDescent="0.35">
      <c r="A1104"/>
      <c r="B1104"/>
      <c r="C1104"/>
      <c r="D1104"/>
      <c r="E1104" s="201"/>
    </row>
    <row r="1105" spans="1:5" x14ac:dyDescent="0.35">
      <c r="A1105"/>
      <c r="B1105"/>
      <c r="C1105"/>
      <c r="D1105"/>
      <c r="E1105" s="201"/>
    </row>
    <row r="1106" spans="1:5" x14ac:dyDescent="0.35">
      <c r="A1106"/>
      <c r="B1106"/>
      <c r="C1106"/>
      <c r="D1106"/>
      <c r="E1106" s="201"/>
    </row>
    <row r="1107" spans="1:5" x14ac:dyDescent="0.35">
      <c r="A1107"/>
      <c r="B1107"/>
      <c r="C1107"/>
      <c r="D1107"/>
      <c r="E1107" s="201"/>
    </row>
    <row r="1108" spans="1:5" x14ac:dyDescent="0.35">
      <c r="A1108"/>
      <c r="B1108"/>
      <c r="C1108"/>
      <c r="D1108"/>
      <c r="E1108" s="201"/>
    </row>
    <row r="1109" spans="1:5" x14ac:dyDescent="0.35">
      <c r="A1109"/>
      <c r="B1109"/>
      <c r="C1109"/>
      <c r="D1109"/>
      <c r="E1109" s="201"/>
    </row>
    <row r="1110" spans="1:5" x14ac:dyDescent="0.35">
      <c r="A1110"/>
      <c r="B1110"/>
      <c r="C1110"/>
      <c r="D1110"/>
      <c r="E1110" s="201"/>
    </row>
    <row r="1111" spans="1:5" x14ac:dyDescent="0.35">
      <c r="A1111"/>
      <c r="B1111"/>
      <c r="C1111"/>
      <c r="D1111"/>
      <c r="E1111" s="201"/>
    </row>
    <row r="1112" spans="1:5" x14ac:dyDescent="0.35">
      <c r="A1112"/>
      <c r="B1112"/>
      <c r="C1112"/>
      <c r="D1112"/>
      <c r="E1112" s="201"/>
    </row>
    <row r="1113" spans="1:5" x14ac:dyDescent="0.35">
      <c r="A1113"/>
      <c r="B1113"/>
      <c r="C1113"/>
      <c r="D1113"/>
      <c r="E1113" s="201"/>
    </row>
    <row r="1114" spans="1:5" x14ac:dyDescent="0.35">
      <c r="A1114"/>
      <c r="B1114"/>
      <c r="C1114"/>
      <c r="D1114"/>
      <c r="E1114" s="201"/>
    </row>
    <row r="1115" spans="1:5" x14ac:dyDescent="0.35">
      <c r="A1115"/>
      <c r="B1115"/>
      <c r="C1115"/>
      <c r="D1115"/>
      <c r="E1115" s="201"/>
    </row>
    <row r="1116" spans="1:5" x14ac:dyDescent="0.35">
      <c r="A1116"/>
      <c r="B1116"/>
      <c r="C1116"/>
      <c r="D1116"/>
      <c r="E1116" s="201"/>
    </row>
    <row r="1117" spans="1:5" x14ac:dyDescent="0.35">
      <c r="A1117"/>
      <c r="B1117"/>
      <c r="C1117"/>
      <c r="D1117"/>
      <c r="E1117" s="201"/>
    </row>
    <row r="1118" spans="1:5" x14ac:dyDescent="0.35">
      <c r="A1118"/>
      <c r="B1118"/>
      <c r="C1118"/>
      <c r="D1118"/>
      <c r="E1118" s="201"/>
    </row>
    <row r="1119" spans="1:5" x14ac:dyDescent="0.35">
      <c r="A1119"/>
      <c r="B1119"/>
      <c r="C1119"/>
      <c r="D1119"/>
      <c r="E1119" s="201"/>
    </row>
    <row r="1120" spans="1:5" x14ac:dyDescent="0.35">
      <c r="A1120"/>
      <c r="B1120"/>
      <c r="C1120"/>
      <c r="D1120"/>
      <c r="E1120" s="201"/>
    </row>
    <row r="1121" spans="1:5" x14ac:dyDescent="0.35">
      <c r="A1121"/>
      <c r="B1121"/>
      <c r="C1121"/>
      <c r="D1121"/>
      <c r="E1121" s="201"/>
    </row>
    <row r="1122" spans="1:5" x14ac:dyDescent="0.35">
      <c r="A1122"/>
      <c r="B1122"/>
      <c r="C1122"/>
      <c r="D1122"/>
      <c r="E1122" s="201"/>
    </row>
    <row r="1123" spans="1:5" x14ac:dyDescent="0.35">
      <c r="A1123"/>
      <c r="B1123"/>
      <c r="C1123"/>
      <c r="D1123"/>
      <c r="E1123" s="201"/>
    </row>
    <row r="1124" spans="1:5" x14ac:dyDescent="0.35">
      <c r="A1124"/>
      <c r="B1124"/>
      <c r="C1124"/>
      <c r="D1124"/>
      <c r="E1124" s="201"/>
    </row>
    <row r="1125" spans="1:5" x14ac:dyDescent="0.35">
      <c r="A1125"/>
      <c r="B1125"/>
      <c r="C1125"/>
      <c r="D1125"/>
      <c r="E1125" s="201"/>
    </row>
    <row r="1126" spans="1:5" x14ac:dyDescent="0.35">
      <c r="A1126"/>
      <c r="B1126"/>
      <c r="C1126"/>
      <c r="D1126"/>
      <c r="E1126" s="201"/>
    </row>
    <row r="1127" spans="1:5" x14ac:dyDescent="0.35">
      <c r="A1127"/>
      <c r="B1127"/>
      <c r="C1127"/>
      <c r="D1127"/>
      <c r="E1127" s="201"/>
    </row>
    <row r="1128" spans="1:5" x14ac:dyDescent="0.35">
      <c r="A1128"/>
      <c r="B1128"/>
      <c r="C1128"/>
      <c r="D1128"/>
      <c r="E1128" s="201"/>
    </row>
    <row r="1129" spans="1:5" x14ac:dyDescent="0.35">
      <c r="A1129"/>
      <c r="B1129"/>
      <c r="C1129"/>
      <c r="D1129"/>
      <c r="E1129" s="201"/>
    </row>
    <row r="1130" spans="1:5" x14ac:dyDescent="0.35">
      <c r="A1130"/>
      <c r="B1130"/>
      <c r="C1130"/>
      <c r="D1130"/>
      <c r="E1130" s="201"/>
    </row>
    <row r="1131" spans="1:5" x14ac:dyDescent="0.35">
      <c r="A1131"/>
      <c r="B1131"/>
      <c r="C1131"/>
      <c r="D1131"/>
      <c r="E1131" s="201"/>
    </row>
    <row r="1132" spans="1:5" x14ac:dyDescent="0.35">
      <c r="A1132"/>
      <c r="B1132"/>
      <c r="C1132"/>
      <c r="D1132"/>
      <c r="E1132" s="201"/>
    </row>
    <row r="1133" spans="1:5" x14ac:dyDescent="0.35">
      <c r="A1133"/>
      <c r="B1133"/>
      <c r="C1133"/>
      <c r="D1133"/>
      <c r="E1133" s="201"/>
    </row>
    <row r="1134" spans="1:5" x14ac:dyDescent="0.35">
      <c r="A1134"/>
      <c r="B1134"/>
      <c r="C1134"/>
      <c r="D1134"/>
      <c r="E1134" s="201"/>
    </row>
    <row r="1135" spans="1:5" x14ac:dyDescent="0.35">
      <c r="A1135"/>
      <c r="B1135"/>
      <c r="C1135"/>
      <c r="D1135"/>
      <c r="E1135" s="201"/>
    </row>
    <row r="1136" spans="1:5" x14ac:dyDescent="0.35">
      <c r="A1136"/>
      <c r="B1136"/>
      <c r="C1136"/>
      <c r="D1136"/>
      <c r="E1136" s="201"/>
    </row>
    <row r="1137" spans="1:5" x14ac:dyDescent="0.35">
      <c r="A1137"/>
      <c r="B1137"/>
      <c r="C1137"/>
      <c r="D1137"/>
      <c r="E1137" s="201"/>
    </row>
    <row r="1138" spans="1:5" x14ac:dyDescent="0.35">
      <c r="A1138"/>
      <c r="B1138"/>
      <c r="C1138"/>
      <c r="D1138"/>
      <c r="E1138" s="201"/>
    </row>
    <row r="1139" spans="1:5" x14ac:dyDescent="0.35">
      <c r="A1139"/>
      <c r="B1139"/>
      <c r="C1139"/>
      <c r="D1139"/>
      <c r="E1139" s="201"/>
    </row>
    <row r="1140" spans="1:5" x14ac:dyDescent="0.35">
      <c r="A1140"/>
      <c r="B1140"/>
      <c r="C1140"/>
      <c r="D1140"/>
      <c r="E1140" s="201"/>
    </row>
    <row r="1141" spans="1:5" x14ac:dyDescent="0.35">
      <c r="A1141"/>
      <c r="B1141"/>
      <c r="C1141"/>
      <c r="D1141"/>
      <c r="E1141" s="201"/>
    </row>
    <row r="1142" spans="1:5" x14ac:dyDescent="0.35">
      <c r="A1142"/>
      <c r="B1142"/>
      <c r="C1142"/>
      <c r="D1142"/>
      <c r="E1142" s="201"/>
    </row>
    <row r="1143" spans="1:5" x14ac:dyDescent="0.35">
      <c r="A1143"/>
      <c r="B1143"/>
      <c r="C1143"/>
      <c r="D1143"/>
      <c r="E1143" s="201"/>
    </row>
    <row r="1144" spans="1:5" x14ac:dyDescent="0.35">
      <c r="A1144"/>
      <c r="B1144"/>
      <c r="C1144"/>
      <c r="D1144"/>
      <c r="E1144" s="201"/>
    </row>
    <row r="1145" spans="1:5" x14ac:dyDescent="0.35">
      <c r="A1145"/>
      <c r="B1145"/>
      <c r="C1145"/>
      <c r="D1145"/>
      <c r="E1145" s="201"/>
    </row>
    <row r="1146" spans="1:5" x14ac:dyDescent="0.35">
      <c r="A1146"/>
      <c r="B1146"/>
      <c r="C1146"/>
      <c r="D1146"/>
      <c r="E1146" s="201"/>
    </row>
    <row r="1147" spans="1:5" x14ac:dyDescent="0.35">
      <c r="A1147"/>
      <c r="B1147"/>
      <c r="C1147"/>
      <c r="D1147"/>
      <c r="E1147" s="201"/>
    </row>
    <row r="1148" spans="1:5" x14ac:dyDescent="0.35">
      <c r="A1148"/>
      <c r="B1148"/>
      <c r="C1148"/>
      <c r="D1148"/>
      <c r="E1148" s="201"/>
    </row>
    <row r="1149" spans="1:5" x14ac:dyDescent="0.35">
      <c r="A1149"/>
      <c r="B1149"/>
      <c r="C1149"/>
      <c r="D1149"/>
      <c r="E1149" s="201"/>
    </row>
    <row r="1150" spans="1:5" x14ac:dyDescent="0.35">
      <c r="A1150"/>
      <c r="B1150"/>
      <c r="C1150"/>
      <c r="D1150"/>
      <c r="E1150" s="201"/>
    </row>
    <row r="1151" spans="1:5" x14ac:dyDescent="0.35">
      <c r="A1151"/>
      <c r="B1151"/>
      <c r="C1151"/>
      <c r="D1151"/>
      <c r="E1151" s="201"/>
    </row>
    <row r="1152" spans="1:5" x14ac:dyDescent="0.35">
      <c r="A1152"/>
      <c r="B1152"/>
      <c r="C1152"/>
      <c r="D1152"/>
      <c r="E1152" s="201"/>
    </row>
    <row r="1153" spans="1:5" x14ac:dyDescent="0.35">
      <c r="A1153"/>
      <c r="B1153"/>
      <c r="C1153"/>
      <c r="D1153"/>
      <c r="E1153" s="201"/>
    </row>
    <row r="1154" spans="1:5" x14ac:dyDescent="0.35">
      <c r="A1154"/>
      <c r="B1154"/>
      <c r="C1154"/>
      <c r="D1154"/>
      <c r="E1154" s="201"/>
    </row>
    <row r="1155" spans="1:5" x14ac:dyDescent="0.35">
      <c r="A1155"/>
      <c r="B1155"/>
      <c r="C1155"/>
      <c r="D1155"/>
      <c r="E1155" s="201"/>
    </row>
    <row r="1156" spans="1:5" x14ac:dyDescent="0.35">
      <c r="A1156"/>
      <c r="B1156"/>
      <c r="C1156"/>
      <c r="D1156"/>
      <c r="E1156" s="201"/>
    </row>
    <row r="1157" spans="1:5" x14ac:dyDescent="0.35">
      <c r="A1157"/>
      <c r="B1157"/>
      <c r="C1157"/>
      <c r="D1157"/>
      <c r="E1157" s="201"/>
    </row>
    <row r="1158" spans="1:5" x14ac:dyDescent="0.35">
      <c r="A1158"/>
      <c r="B1158"/>
      <c r="C1158"/>
      <c r="D1158"/>
      <c r="E1158" s="201"/>
    </row>
    <row r="1159" spans="1:5" x14ac:dyDescent="0.35">
      <c r="A1159"/>
      <c r="B1159"/>
      <c r="C1159"/>
      <c r="D1159"/>
      <c r="E1159" s="201"/>
    </row>
    <row r="1160" spans="1:5" x14ac:dyDescent="0.35">
      <c r="A1160"/>
      <c r="B1160"/>
      <c r="C1160"/>
      <c r="D1160"/>
      <c r="E1160" s="201"/>
    </row>
    <row r="1161" spans="1:5" x14ac:dyDescent="0.35">
      <c r="A1161"/>
      <c r="B1161"/>
      <c r="C1161"/>
      <c r="D1161"/>
      <c r="E1161" s="201"/>
    </row>
    <row r="1162" spans="1:5" x14ac:dyDescent="0.35">
      <c r="A1162"/>
      <c r="B1162"/>
      <c r="C1162"/>
      <c r="D1162"/>
      <c r="E1162" s="201"/>
    </row>
    <row r="1163" spans="1:5" x14ac:dyDescent="0.35">
      <c r="A1163"/>
      <c r="B1163"/>
      <c r="C1163"/>
      <c r="D1163"/>
      <c r="E1163" s="201"/>
    </row>
    <row r="1164" spans="1:5" x14ac:dyDescent="0.35">
      <c r="A1164"/>
      <c r="B1164"/>
      <c r="C1164"/>
      <c r="D1164"/>
      <c r="E1164" s="201"/>
    </row>
    <row r="1165" spans="1:5" x14ac:dyDescent="0.35">
      <c r="A1165"/>
      <c r="B1165"/>
      <c r="C1165"/>
      <c r="D1165"/>
      <c r="E1165" s="201"/>
    </row>
    <row r="1166" spans="1:5" x14ac:dyDescent="0.35">
      <c r="A1166"/>
      <c r="B1166"/>
      <c r="C1166"/>
      <c r="D1166"/>
      <c r="E1166" s="201"/>
    </row>
    <row r="1167" spans="1:5" x14ac:dyDescent="0.35">
      <c r="A1167"/>
      <c r="B1167"/>
      <c r="C1167"/>
      <c r="D1167"/>
      <c r="E1167" s="201"/>
    </row>
    <row r="1168" spans="1:5" x14ac:dyDescent="0.35">
      <c r="A1168"/>
      <c r="B1168"/>
      <c r="C1168"/>
      <c r="D1168"/>
      <c r="E1168" s="201"/>
    </row>
    <row r="1169" spans="1:5" x14ac:dyDescent="0.35">
      <c r="A1169"/>
      <c r="B1169"/>
      <c r="C1169"/>
      <c r="D1169"/>
      <c r="E1169" s="201"/>
    </row>
    <row r="1170" spans="1:5" x14ac:dyDescent="0.35">
      <c r="A1170"/>
      <c r="B1170"/>
      <c r="C1170"/>
      <c r="D1170"/>
      <c r="E1170" s="201"/>
    </row>
    <row r="1171" spans="1:5" x14ac:dyDescent="0.35">
      <c r="A1171"/>
      <c r="B1171"/>
      <c r="C1171"/>
      <c r="D1171"/>
      <c r="E1171" s="201"/>
    </row>
    <row r="1172" spans="1:5" x14ac:dyDescent="0.35">
      <c r="A1172"/>
      <c r="B1172"/>
      <c r="C1172"/>
      <c r="D1172"/>
      <c r="E1172" s="201"/>
    </row>
    <row r="1173" spans="1:5" x14ac:dyDescent="0.35">
      <c r="A1173"/>
      <c r="B1173"/>
      <c r="C1173"/>
      <c r="D1173"/>
      <c r="E1173" s="201"/>
    </row>
    <row r="1174" spans="1:5" x14ac:dyDescent="0.35">
      <c r="A1174"/>
      <c r="B1174"/>
      <c r="C1174"/>
      <c r="D1174"/>
      <c r="E1174" s="201"/>
    </row>
    <row r="1175" spans="1:5" x14ac:dyDescent="0.35">
      <c r="A1175"/>
      <c r="B1175"/>
      <c r="C1175"/>
      <c r="D1175"/>
      <c r="E1175" s="201"/>
    </row>
    <row r="1176" spans="1:5" x14ac:dyDescent="0.35">
      <c r="A1176"/>
      <c r="B1176"/>
      <c r="C1176"/>
      <c r="D1176"/>
      <c r="E1176" s="201"/>
    </row>
    <row r="1177" spans="1:5" x14ac:dyDescent="0.35">
      <c r="A1177"/>
      <c r="B1177"/>
      <c r="C1177"/>
      <c r="D1177"/>
      <c r="E1177" s="201"/>
    </row>
    <row r="1178" spans="1:5" x14ac:dyDescent="0.35">
      <c r="A1178"/>
      <c r="B1178"/>
      <c r="C1178"/>
      <c r="D1178"/>
      <c r="E1178" s="201"/>
    </row>
    <row r="1179" spans="1:5" x14ac:dyDescent="0.35">
      <c r="A1179"/>
      <c r="B1179"/>
      <c r="C1179"/>
      <c r="D1179"/>
      <c r="E1179" s="201"/>
    </row>
    <row r="1180" spans="1:5" x14ac:dyDescent="0.35">
      <c r="A1180"/>
      <c r="B1180"/>
      <c r="C1180"/>
      <c r="D1180"/>
      <c r="E1180" s="201"/>
    </row>
    <row r="1181" spans="1:5" x14ac:dyDescent="0.35">
      <c r="A1181"/>
      <c r="B1181"/>
      <c r="C1181"/>
      <c r="D1181"/>
      <c r="E1181" s="201"/>
    </row>
    <row r="1182" spans="1:5" x14ac:dyDescent="0.35">
      <c r="A1182"/>
      <c r="B1182"/>
      <c r="C1182"/>
      <c r="D1182"/>
      <c r="E1182" s="201"/>
    </row>
    <row r="1183" spans="1:5" x14ac:dyDescent="0.35">
      <c r="A1183"/>
      <c r="B1183"/>
      <c r="C1183"/>
      <c r="D1183"/>
      <c r="E1183" s="201"/>
    </row>
    <row r="1184" spans="1:5" x14ac:dyDescent="0.35">
      <c r="A1184"/>
      <c r="B1184"/>
      <c r="C1184"/>
      <c r="D1184"/>
      <c r="E1184" s="201"/>
    </row>
    <row r="1185" spans="1:5" x14ac:dyDescent="0.35">
      <c r="A1185"/>
      <c r="B1185"/>
      <c r="C1185"/>
      <c r="D1185"/>
      <c r="E1185" s="201"/>
    </row>
    <row r="1186" spans="1:5" x14ac:dyDescent="0.35">
      <c r="A1186"/>
      <c r="B1186"/>
      <c r="C1186"/>
      <c r="D1186"/>
      <c r="E1186" s="201"/>
    </row>
    <row r="1187" spans="1:5" x14ac:dyDescent="0.35">
      <c r="A1187"/>
      <c r="B1187"/>
      <c r="C1187"/>
      <c r="D1187"/>
      <c r="E1187" s="201"/>
    </row>
    <row r="1188" spans="1:5" x14ac:dyDescent="0.35">
      <c r="A1188"/>
      <c r="B1188"/>
      <c r="C1188"/>
      <c r="D1188"/>
      <c r="E1188" s="201"/>
    </row>
    <row r="1189" spans="1:5" x14ac:dyDescent="0.35">
      <c r="A1189"/>
      <c r="B1189"/>
      <c r="C1189"/>
      <c r="D1189"/>
      <c r="E1189" s="201"/>
    </row>
    <row r="1190" spans="1:5" x14ac:dyDescent="0.35">
      <c r="A1190"/>
      <c r="B1190"/>
      <c r="C1190"/>
      <c r="D1190"/>
      <c r="E1190" s="201"/>
    </row>
    <row r="1191" spans="1:5" x14ac:dyDescent="0.35">
      <c r="A1191"/>
      <c r="B1191"/>
      <c r="C1191"/>
      <c r="D1191"/>
      <c r="E1191" s="201"/>
    </row>
    <row r="1192" spans="1:5" x14ac:dyDescent="0.35">
      <c r="A1192"/>
      <c r="B1192"/>
      <c r="C1192"/>
      <c r="D1192"/>
      <c r="E1192" s="201"/>
    </row>
    <row r="1193" spans="1:5" x14ac:dyDescent="0.35">
      <c r="A1193"/>
      <c r="B1193"/>
      <c r="C1193"/>
      <c r="D1193"/>
      <c r="E1193" s="201"/>
    </row>
    <row r="1194" spans="1:5" x14ac:dyDescent="0.35">
      <c r="A1194"/>
      <c r="B1194"/>
      <c r="C1194"/>
      <c r="D1194"/>
      <c r="E1194" s="201"/>
    </row>
    <row r="1195" spans="1:5" x14ac:dyDescent="0.35">
      <c r="A1195"/>
      <c r="B1195"/>
      <c r="C1195"/>
      <c r="D1195"/>
      <c r="E1195" s="201"/>
    </row>
    <row r="1196" spans="1:5" x14ac:dyDescent="0.35">
      <c r="A1196"/>
      <c r="B1196"/>
      <c r="C1196"/>
      <c r="D1196"/>
      <c r="E1196" s="201"/>
    </row>
    <row r="1197" spans="1:5" x14ac:dyDescent="0.35">
      <c r="A1197"/>
      <c r="B1197"/>
      <c r="C1197"/>
      <c r="D1197"/>
      <c r="E1197" s="201"/>
    </row>
    <row r="1198" spans="1:5" x14ac:dyDescent="0.35">
      <c r="A1198"/>
      <c r="B1198"/>
      <c r="C1198"/>
      <c r="D1198"/>
      <c r="E1198" s="201"/>
    </row>
    <row r="1199" spans="1:5" x14ac:dyDescent="0.35">
      <c r="A1199"/>
      <c r="B1199"/>
      <c r="C1199"/>
      <c r="D1199"/>
      <c r="E1199" s="201"/>
    </row>
    <row r="1200" spans="1:5" x14ac:dyDescent="0.35">
      <c r="A1200"/>
      <c r="B1200"/>
      <c r="C1200"/>
      <c r="D1200"/>
      <c r="E1200" s="201"/>
    </row>
    <row r="1201" spans="1:5" x14ac:dyDescent="0.35">
      <c r="A1201"/>
      <c r="B1201"/>
      <c r="C1201"/>
      <c r="D1201"/>
      <c r="E1201" s="201"/>
    </row>
    <row r="1202" spans="1:5" x14ac:dyDescent="0.35">
      <c r="A1202"/>
      <c r="B1202"/>
      <c r="C1202"/>
      <c r="D1202"/>
      <c r="E1202" s="201"/>
    </row>
    <row r="1203" spans="1:5" x14ac:dyDescent="0.35">
      <c r="A1203"/>
      <c r="B1203"/>
      <c r="C1203"/>
      <c r="D1203"/>
      <c r="E1203" s="201"/>
    </row>
    <row r="1204" spans="1:5" x14ac:dyDescent="0.35">
      <c r="A1204"/>
      <c r="B1204"/>
      <c r="C1204"/>
      <c r="D1204"/>
      <c r="E1204" s="201"/>
    </row>
    <row r="1205" spans="1:5" x14ac:dyDescent="0.35">
      <c r="A1205"/>
      <c r="B1205"/>
      <c r="C1205"/>
      <c r="D1205"/>
      <c r="E1205" s="201"/>
    </row>
    <row r="1206" spans="1:5" x14ac:dyDescent="0.35">
      <c r="A1206"/>
      <c r="B1206"/>
      <c r="C1206"/>
      <c r="D1206"/>
      <c r="E1206" s="201"/>
    </row>
    <row r="1207" spans="1:5" x14ac:dyDescent="0.35">
      <c r="A1207"/>
      <c r="B1207"/>
      <c r="C1207"/>
      <c r="D1207"/>
      <c r="E1207" s="201"/>
    </row>
    <row r="1208" spans="1:5" x14ac:dyDescent="0.35">
      <c r="A1208"/>
      <c r="B1208"/>
      <c r="C1208"/>
      <c r="D1208"/>
      <c r="E1208" s="201"/>
    </row>
    <row r="1209" spans="1:5" x14ac:dyDescent="0.35">
      <c r="A1209"/>
      <c r="B1209"/>
      <c r="C1209"/>
      <c r="D1209"/>
      <c r="E1209" s="201"/>
    </row>
    <row r="1210" spans="1:5" x14ac:dyDescent="0.35">
      <c r="A1210"/>
      <c r="B1210"/>
      <c r="C1210"/>
      <c r="D1210"/>
      <c r="E1210" s="201"/>
    </row>
    <row r="1211" spans="1:5" x14ac:dyDescent="0.35">
      <c r="A1211"/>
      <c r="B1211"/>
      <c r="C1211"/>
      <c r="D1211"/>
      <c r="E1211" s="201"/>
    </row>
    <row r="1212" spans="1:5" x14ac:dyDescent="0.35">
      <c r="A1212"/>
      <c r="B1212"/>
      <c r="C1212"/>
      <c r="D1212"/>
      <c r="E1212" s="201"/>
    </row>
    <row r="1213" spans="1:5" x14ac:dyDescent="0.35">
      <c r="A1213"/>
      <c r="B1213"/>
      <c r="C1213"/>
      <c r="D1213"/>
      <c r="E1213" s="201"/>
    </row>
    <row r="1214" spans="1:5" x14ac:dyDescent="0.35">
      <c r="A1214"/>
      <c r="B1214"/>
      <c r="C1214"/>
      <c r="D1214"/>
      <c r="E1214" s="201"/>
    </row>
    <row r="1215" spans="1:5" x14ac:dyDescent="0.35">
      <c r="A1215"/>
      <c r="B1215"/>
      <c r="C1215"/>
      <c r="D1215"/>
      <c r="E1215" s="201"/>
    </row>
    <row r="1216" spans="1:5" x14ac:dyDescent="0.35">
      <c r="A1216"/>
      <c r="B1216"/>
      <c r="C1216"/>
      <c r="D1216"/>
      <c r="E1216" s="201"/>
    </row>
    <row r="1217" spans="1:5" x14ac:dyDescent="0.35">
      <c r="A1217"/>
      <c r="B1217"/>
      <c r="C1217"/>
      <c r="D1217"/>
      <c r="E1217" s="201"/>
    </row>
    <row r="1218" spans="1:5" x14ac:dyDescent="0.35">
      <c r="A1218"/>
      <c r="B1218"/>
      <c r="C1218"/>
      <c r="D1218"/>
      <c r="E1218" s="201"/>
    </row>
    <row r="1219" spans="1:5" x14ac:dyDescent="0.35">
      <c r="A1219"/>
      <c r="B1219"/>
      <c r="C1219"/>
      <c r="D1219"/>
      <c r="E1219" s="201"/>
    </row>
    <row r="1220" spans="1:5" x14ac:dyDescent="0.35">
      <c r="A1220"/>
      <c r="B1220"/>
      <c r="C1220"/>
      <c r="D1220"/>
      <c r="E1220" s="201"/>
    </row>
    <row r="1221" spans="1:5" x14ac:dyDescent="0.35">
      <c r="A1221"/>
      <c r="B1221"/>
      <c r="C1221"/>
      <c r="D1221"/>
      <c r="E1221" s="201"/>
    </row>
    <row r="1222" spans="1:5" x14ac:dyDescent="0.35">
      <c r="A1222"/>
      <c r="B1222"/>
      <c r="C1222"/>
      <c r="D1222"/>
      <c r="E1222" s="201"/>
    </row>
    <row r="1223" spans="1:5" x14ac:dyDescent="0.35">
      <c r="A1223"/>
      <c r="B1223"/>
      <c r="C1223"/>
      <c r="D1223"/>
      <c r="E1223" s="201"/>
    </row>
    <row r="1224" spans="1:5" x14ac:dyDescent="0.35">
      <c r="A1224"/>
      <c r="B1224"/>
      <c r="C1224"/>
      <c r="D1224"/>
      <c r="E1224" s="201"/>
    </row>
    <row r="1225" spans="1:5" x14ac:dyDescent="0.35">
      <c r="A1225"/>
      <c r="B1225"/>
      <c r="C1225"/>
      <c r="D1225"/>
      <c r="E1225" s="201"/>
    </row>
    <row r="1226" spans="1:5" x14ac:dyDescent="0.35">
      <c r="A1226"/>
      <c r="B1226"/>
      <c r="C1226"/>
      <c r="D1226"/>
      <c r="E1226" s="201"/>
    </row>
    <row r="1227" spans="1:5" x14ac:dyDescent="0.35">
      <c r="A1227"/>
      <c r="B1227"/>
      <c r="C1227"/>
      <c r="D1227"/>
      <c r="E1227" s="201"/>
    </row>
    <row r="1228" spans="1:5" x14ac:dyDescent="0.35">
      <c r="A1228"/>
      <c r="B1228"/>
      <c r="C1228"/>
      <c r="D1228"/>
      <c r="E1228" s="201"/>
    </row>
    <row r="1229" spans="1:5" x14ac:dyDescent="0.35">
      <c r="A1229"/>
      <c r="B1229"/>
      <c r="C1229"/>
      <c r="D1229"/>
      <c r="E1229" s="201"/>
    </row>
    <row r="1230" spans="1:5" x14ac:dyDescent="0.35">
      <c r="A1230"/>
      <c r="B1230"/>
      <c r="C1230"/>
      <c r="D1230"/>
      <c r="E1230" s="201"/>
    </row>
    <row r="1231" spans="1:5" x14ac:dyDescent="0.35">
      <c r="A1231"/>
      <c r="B1231"/>
      <c r="C1231"/>
      <c r="D1231"/>
      <c r="E1231" s="201"/>
    </row>
    <row r="1232" spans="1:5" x14ac:dyDescent="0.35">
      <c r="A1232"/>
      <c r="B1232"/>
      <c r="C1232"/>
      <c r="D1232"/>
      <c r="E1232" s="201"/>
    </row>
    <row r="1233" spans="1:5" x14ac:dyDescent="0.35">
      <c r="A1233"/>
      <c r="B1233"/>
      <c r="C1233"/>
      <c r="D1233"/>
      <c r="E1233" s="201"/>
    </row>
    <row r="1234" spans="1:5" x14ac:dyDescent="0.35">
      <c r="A1234"/>
      <c r="B1234"/>
      <c r="C1234"/>
      <c r="D1234"/>
      <c r="E1234" s="201"/>
    </row>
    <row r="1235" spans="1:5" x14ac:dyDescent="0.35">
      <c r="A1235"/>
      <c r="B1235"/>
      <c r="C1235"/>
      <c r="D1235"/>
      <c r="E1235" s="201"/>
    </row>
    <row r="1236" spans="1:5" x14ac:dyDescent="0.35">
      <c r="A1236"/>
      <c r="B1236"/>
      <c r="C1236"/>
      <c r="D1236"/>
      <c r="E1236" s="201"/>
    </row>
  </sheetData>
  <autoFilter ref="A1:H1067" xr:uid="{00000000-0009-0000-0000-000004000000}"/>
  <phoneticPr fontId="27" type="noConversion"/>
  <printOptions horizontalCentered="1" verticalCentered="1" gridLines="1"/>
  <pageMargins left="0.31496062992125984" right="0.31496062992125984" top="0.35433070866141736" bottom="0.35433070866141736" header="0" footer="0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32"/>
  <sheetViews>
    <sheetView workbookViewId="0">
      <selection activeCell="E4" sqref="E4"/>
    </sheetView>
  </sheetViews>
  <sheetFormatPr baseColWidth="10" defaultRowHeight="14.5" x14ac:dyDescent="0.35"/>
  <cols>
    <col min="2" max="2" width="20.54296875" customWidth="1"/>
    <col min="3" max="3" width="19.7265625" bestFit="1" customWidth="1"/>
  </cols>
  <sheetData>
    <row r="1" spans="2:3" ht="15" thickBot="1" x14ac:dyDescent="0.4"/>
    <row r="2" spans="2:3" ht="15" thickBot="1" x14ac:dyDescent="0.4">
      <c r="B2" s="248" t="s">
        <v>852</v>
      </c>
      <c r="C2" s="248" t="s">
        <v>209</v>
      </c>
    </row>
    <row r="3" spans="2:3" x14ac:dyDescent="0.35">
      <c r="B3" s="238">
        <v>400.04</v>
      </c>
      <c r="C3" s="241" t="s">
        <v>840</v>
      </c>
    </row>
    <row r="4" spans="2:3" ht="15" thickBot="1" x14ac:dyDescent="0.4">
      <c r="B4" s="239" t="s">
        <v>830</v>
      </c>
      <c r="C4" s="242" t="s">
        <v>841</v>
      </c>
    </row>
    <row r="5" spans="2:3" x14ac:dyDescent="0.35">
      <c r="B5" s="240">
        <v>500.05</v>
      </c>
      <c r="C5" s="242" t="s">
        <v>842</v>
      </c>
    </row>
    <row r="6" spans="2:3" ht="15" thickBot="1" x14ac:dyDescent="0.4">
      <c r="B6" s="239" t="s">
        <v>831</v>
      </c>
      <c r="C6" s="242" t="s">
        <v>843</v>
      </c>
    </row>
    <row r="7" spans="2:3" x14ac:dyDescent="0.35">
      <c r="B7" s="240">
        <v>501.01069999999999</v>
      </c>
      <c r="C7" s="242" t="s">
        <v>844</v>
      </c>
    </row>
    <row r="8" spans="2:3" ht="15" thickBot="1" x14ac:dyDescent="0.4">
      <c r="B8" s="239" t="s">
        <v>834</v>
      </c>
      <c r="C8" s="242" t="s">
        <v>845</v>
      </c>
    </row>
    <row r="9" spans="2:3" x14ac:dyDescent="0.35">
      <c r="B9" s="240">
        <v>501.01209999999998</v>
      </c>
      <c r="C9" s="242"/>
    </row>
    <row r="10" spans="2:3" ht="15" thickBot="1" x14ac:dyDescent="0.4">
      <c r="B10" s="239" t="s">
        <v>832</v>
      </c>
      <c r="C10" s="242"/>
    </row>
    <row r="11" spans="2:3" x14ac:dyDescent="0.35">
      <c r="B11" s="240">
        <v>700.03009999999995</v>
      </c>
      <c r="C11" s="242"/>
    </row>
    <row r="12" spans="2:3" ht="15" thickBot="1" x14ac:dyDescent="0.4">
      <c r="B12" s="239" t="s">
        <v>833</v>
      </c>
      <c r="C12" s="239"/>
    </row>
    <row r="13" spans="2:3" ht="15" thickBot="1" x14ac:dyDescent="0.4"/>
    <row r="14" spans="2:3" x14ac:dyDescent="0.35">
      <c r="B14" s="243">
        <v>600.01049999999998</v>
      </c>
      <c r="C14" s="245">
        <v>10120</v>
      </c>
    </row>
    <row r="15" spans="2:3" ht="15" thickBot="1" x14ac:dyDescent="0.4">
      <c r="B15" s="239" t="s">
        <v>835</v>
      </c>
      <c r="C15" s="246">
        <v>10220</v>
      </c>
    </row>
    <row r="16" spans="2:3" x14ac:dyDescent="0.35">
      <c r="B16" s="240">
        <v>600.01149999999996</v>
      </c>
      <c r="C16" s="246">
        <v>10320</v>
      </c>
    </row>
    <row r="17" spans="2:3" ht="15" thickBot="1" x14ac:dyDescent="0.4">
      <c r="B17" s="239" t="s">
        <v>836</v>
      </c>
      <c r="C17" s="246">
        <v>10420</v>
      </c>
    </row>
    <row r="18" spans="2:3" x14ac:dyDescent="0.35">
      <c r="B18" s="240">
        <v>600.01189999999997</v>
      </c>
      <c r="C18" s="246">
        <v>10520</v>
      </c>
    </row>
    <row r="19" spans="2:3" ht="15" thickBot="1" x14ac:dyDescent="0.4">
      <c r="B19" s="239" t="s">
        <v>837</v>
      </c>
      <c r="C19" s="246">
        <v>10620</v>
      </c>
    </row>
    <row r="20" spans="2:3" ht="15" thickBot="1" x14ac:dyDescent="0.4">
      <c r="B20" s="244">
        <v>800.01020300000005</v>
      </c>
      <c r="C20" s="239"/>
    </row>
    <row r="21" spans="2:3" ht="15" thickBot="1" x14ac:dyDescent="0.4"/>
    <row r="22" spans="2:3" x14ac:dyDescent="0.35">
      <c r="B22" s="243">
        <v>601.01049999999998</v>
      </c>
      <c r="C22" s="245">
        <v>15041</v>
      </c>
    </row>
    <row r="23" spans="2:3" ht="15" thickBot="1" x14ac:dyDescent="0.4">
      <c r="B23" s="239" t="s">
        <v>838</v>
      </c>
      <c r="C23" s="246" t="s">
        <v>846</v>
      </c>
    </row>
    <row r="24" spans="2:3" x14ac:dyDescent="0.35">
      <c r="B24" s="240">
        <v>601.01189999999997</v>
      </c>
      <c r="C24" s="246">
        <v>15075</v>
      </c>
    </row>
    <row r="25" spans="2:3" ht="15" thickBot="1" x14ac:dyDescent="0.4">
      <c r="B25" s="239" t="s">
        <v>839</v>
      </c>
      <c r="C25" s="239"/>
    </row>
    <row r="26" spans="2:3" ht="15" thickBot="1" x14ac:dyDescent="0.4"/>
    <row r="27" spans="2:3" x14ac:dyDescent="0.35">
      <c r="B27" s="243">
        <v>610.01049999999998</v>
      </c>
      <c r="C27" s="245" t="s">
        <v>849</v>
      </c>
    </row>
    <row r="28" spans="2:3" ht="15" thickBot="1" x14ac:dyDescent="0.4">
      <c r="B28" s="239" t="s">
        <v>847</v>
      </c>
      <c r="C28" s="246">
        <v>10271</v>
      </c>
    </row>
    <row r="29" spans="2:3" x14ac:dyDescent="0.35">
      <c r="B29" s="240">
        <v>610.01189999999997</v>
      </c>
      <c r="C29" s="246">
        <v>10371</v>
      </c>
    </row>
    <row r="30" spans="2:3" x14ac:dyDescent="0.35">
      <c r="B30" s="242" t="s">
        <v>848</v>
      </c>
      <c r="C30" s="246" t="s">
        <v>850</v>
      </c>
    </row>
    <row r="31" spans="2:3" x14ac:dyDescent="0.35">
      <c r="B31" s="242"/>
      <c r="C31" s="246">
        <v>10571</v>
      </c>
    </row>
    <row r="32" spans="2:3" ht="15" thickBot="1" x14ac:dyDescent="0.4">
      <c r="B32" s="239"/>
      <c r="C32" s="247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Modelo Edo Resul</vt:lpstr>
      <vt:lpstr>Costo Std</vt:lpstr>
      <vt:lpstr>FLUJO CONTABLE</vt:lpstr>
      <vt:lpstr>Hoja reporte</vt:lpstr>
      <vt:lpstr>Catálogo</vt:lpstr>
      <vt:lpstr>Hoja1</vt:lpstr>
      <vt:lpstr>Catálogo!Área_de_impresión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ramon.rodriguez</dc:creator>
  <cp:lastModifiedBy>Benito Sanchez Parada.</cp:lastModifiedBy>
  <cp:lastPrinted>2014-12-05T17:36:07Z</cp:lastPrinted>
  <dcterms:created xsi:type="dcterms:W3CDTF">2012-05-08T16:51:23Z</dcterms:created>
  <dcterms:modified xsi:type="dcterms:W3CDTF">2025-09-26T22:22:31Z</dcterms:modified>
</cp:coreProperties>
</file>