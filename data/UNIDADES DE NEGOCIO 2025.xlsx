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.0.15\Contabilidad\UREBLOCK (RED)\CATALOGO\"/>
    </mc:Choice>
  </mc:AlternateContent>
  <xr:revisionPtr revIDLastSave="0" documentId="13_ncr:1_{5025B34F-7DCC-4435-BDB4-2328D404CF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PUESTA" sheetId="12" r:id="rId1"/>
    <sheet name="Hoja1" sheetId="11" state="hidden" r:id="rId2"/>
  </sheets>
  <definedNames>
    <definedName name="_xlnm.Print_Area" localSheetId="0">PROPUESTA!$A$1:$P$33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2" l="1"/>
  <c r="E20" i="12"/>
  <c r="L21" i="12"/>
  <c r="L5" i="12"/>
  <c r="L4" i="12"/>
  <c r="F20" i="12" l="1"/>
  <c r="C16" i="12"/>
  <c r="I14" i="12" l="1"/>
  <c r="M13" i="12"/>
  <c r="N15" i="12"/>
  <c r="P33" i="12"/>
  <c r="P32" i="12"/>
  <c r="P31" i="12"/>
  <c r="P30" i="12"/>
  <c r="P29" i="12"/>
  <c r="P28" i="12"/>
  <c r="P27" i="12"/>
  <c r="P26" i="12"/>
  <c r="P25" i="12"/>
  <c r="P24" i="12"/>
  <c r="P23" i="12"/>
  <c r="H21" i="12"/>
  <c r="G21" i="12"/>
  <c r="F21" i="12"/>
  <c r="E21" i="12"/>
  <c r="D21" i="12"/>
  <c r="C21" i="12"/>
  <c r="G13" i="12"/>
  <c r="C12" i="12"/>
  <c r="C10" i="12"/>
  <c r="K5" i="12"/>
  <c r="J5" i="12"/>
  <c r="H5" i="12"/>
  <c r="G5" i="12"/>
  <c r="F5" i="12"/>
  <c r="E5" i="12"/>
  <c r="D5" i="12"/>
  <c r="C5" i="12"/>
  <c r="H4" i="12"/>
  <c r="F4" i="12"/>
  <c r="E4" i="12"/>
  <c r="D4" i="12"/>
  <c r="C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ramon.rodriguez</author>
    <author>Benito Sanchez Parada.</author>
  </authors>
  <commentList>
    <comment ref="S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RENOMBRAR EL ALMACÉN</t>
        </r>
      </text>
    </comment>
    <comment ref="T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RENOMBRAR EL ALMACÉN</t>
        </r>
      </text>
    </comment>
    <comment ref="V1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RENOMBRAR EL ALMACÉN DE TIJX EL ASIGNADO</t>
        </r>
      </text>
    </comment>
    <comment ref="E20" authorId="1" shapeId="0" xr:uid="{A27DBDA0-730B-4B2E-A56E-0DBF1715D932}">
      <text>
        <r>
          <rPr>
            <b/>
            <sz val="9"/>
            <color indexed="81"/>
            <rFont val="Tahoma"/>
            <charset val="1"/>
          </rPr>
          <t>Benito Sanchez Parada.:</t>
        </r>
        <r>
          <rPr>
            <sz val="9"/>
            <color indexed="81"/>
            <rFont val="Tahoma"/>
            <charset val="1"/>
          </rPr>
          <t xml:space="preserve">
CUARTO DE CURADO</t>
        </r>
      </text>
    </comment>
    <comment ref="F20" authorId="1" shapeId="0" xr:uid="{3410AE87-3028-4222-9DDC-C2E99D94EF34}">
      <text>
        <r>
          <rPr>
            <b/>
            <sz val="9"/>
            <color indexed="81"/>
            <rFont val="Tahoma"/>
            <charset val="1"/>
          </rPr>
          <t>Benito Sanchez Parada.:</t>
        </r>
        <r>
          <rPr>
            <sz val="9"/>
            <color indexed="81"/>
            <rFont val="Tahoma"/>
            <charset val="1"/>
          </rPr>
          <t xml:space="preserve">
RETICULADO</t>
        </r>
      </text>
    </comment>
  </commentList>
</comments>
</file>

<file path=xl/sharedStrings.xml><?xml version="1.0" encoding="utf-8"?>
<sst xmlns="http://schemas.openxmlformats.org/spreadsheetml/2006/main" count="245" uniqueCount="190">
  <si>
    <t>Materia Prima</t>
  </si>
  <si>
    <t>XXXXX</t>
  </si>
  <si>
    <t>01</t>
  </si>
  <si>
    <t>02</t>
  </si>
  <si>
    <t>03</t>
  </si>
  <si>
    <t>04</t>
  </si>
  <si>
    <t>05</t>
  </si>
  <si>
    <t>06</t>
  </si>
  <si>
    <t>07</t>
  </si>
  <si>
    <t>08</t>
  </si>
  <si>
    <t>10</t>
  </si>
  <si>
    <t>20</t>
  </si>
  <si>
    <t>135</t>
  </si>
  <si>
    <t>EPS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</si>
  <si>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</si>
  <si>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</si>
  <si>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</si>
  <si>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</si>
  <si>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</si>
  <si>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</si>
  <si>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</si>
  <si>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</si>
  <si>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</si>
  <si>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</si>
  <si>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</si>
  <si>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09</t>
  </si>
  <si>
    <t>11</t>
  </si>
  <si>
    <t>50</t>
  </si>
  <si>
    <t>COSTURA GDL</t>
  </si>
  <si>
    <t>ADMON PUEBLA</t>
  </si>
  <si>
    <t>ADMON LEON</t>
  </si>
  <si>
    <t>CORRUGADO GDL</t>
  </si>
  <si>
    <t>0312</t>
  </si>
  <si>
    <t>0313</t>
  </si>
  <si>
    <t>ADMON MTY</t>
  </si>
  <si>
    <t>Tecate</t>
  </si>
  <si>
    <t>Puebla</t>
  </si>
  <si>
    <t>Monterrey</t>
  </si>
  <si>
    <t>Yucatan</t>
  </si>
  <si>
    <t>Dirección General Corp</t>
  </si>
  <si>
    <t>Corporativo</t>
  </si>
  <si>
    <t>1 primero números = cias</t>
  </si>
  <si>
    <t>Consec.</t>
  </si>
  <si>
    <t>41</t>
  </si>
  <si>
    <t>42</t>
  </si>
  <si>
    <t>43</t>
  </si>
  <si>
    <t>44</t>
  </si>
  <si>
    <t>45</t>
  </si>
  <si>
    <t xml:space="preserve">cía. </t>
  </si>
  <si>
    <t>Leon</t>
  </si>
  <si>
    <t xml:space="preserve">Guadalajara </t>
  </si>
  <si>
    <t>Corporativos (601)</t>
  </si>
  <si>
    <t>Polietileno Espumado</t>
  </si>
  <si>
    <t>Corrugado</t>
  </si>
  <si>
    <t>Empaque</t>
  </si>
  <si>
    <t>Costura</t>
  </si>
  <si>
    <t>Telas</t>
  </si>
  <si>
    <t>Resortes</t>
  </si>
  <si>
    <t>Administracion Planta (600)</t>
  </si>
  <si>
    <t>Sistemas Corp</t>
  </si>
  <si>
    <t>Contabilidad Corp.</t>
  </si>
  <si>
    <t>Compras Corp.</t>
  </si>
  <si>
    <t>Cuentas por Cobrar Corp.</t>
  </si>
  <si>
    <t>Cuentas por Pagar Corp.</t>
  </si>
  <si>
    <t>Recursos Humanos Corp</t>
  </si>
  <si>
    <t>Tesorería Corp.</t>
  </si>
  <si>
    <t>Se incluye Vigilancia, Calidad, Jardines, Mantenimiento, CxC excepto Gdl, CxP exepto Gdl</t>
  </si>
  <si>
    <t>46</t>
  </si>
  <si>
    <t>47</t>
  </si>
  <si>
    <t>48</t>
  </si>
  <si>
    <t>49</t>
  </si>
  <si>
    <t>51</t>
  </si>
  <si>
    <t>2do y 3ro = planta</t>
  </si>
  <si>
    <t>Manufactura General Corp</t>
  </si>
  <si>
    <t>Corporativo General</t>
  </si>
  <si>
    <t>Espuma</t>
  </si>
  <si>
    <t>Carton</t>
  </si>
  <si>
    <t>Colchones</t>
  </si>
  <si>
    <t>Almohadas</t>
  </si>
  <si>
    <t>Cojines</t>
  </si>
  <si>
    <t>Edredones</t>
  </si>
  <si>
    <t>Varios</t>
  </si>
  <si>
    <t>Producción en Proceso</t>
  </si>
  <si>
    <t>Bolsas de Plastico</t>
  </si>
  <si>
    <t>CORTE GDL</t>
  </si>
  <si>
    <t>CORTE LEON</t>
  </si>
  <si>
    <t>CORTE PUEBLA</t>
  </si>
  <si>
    <t>CORTE MTY</t>
  </si>
  <si>
    <t>CORTE YUC</t>
  </si>
  <si>
    <t>CORTE TKT</t>
  </si>
  <si>
    <t>ESP PUEBLA</t>
  </si>
  <si>
    <t>ESP LEON</t>
  </si>
  <si>
    <t>ESP MTY</t>
  </si>
  <si>
    <t>ESP YUC</t>
  </si>
  <si>
    <t>ESP TKT</t>
  </si>
  <si>
    <t>COSTURA YUC</t>
  </si>
  <si>
    <t>RESORTE MTY</t>
  </si>
  <si>
    <t>RESORTE TKT</t>
  </si>
  <si>
    <t>TELAS MTY</t>
  </si>
  <si>
    <t>ADMON GDL</t>
  </si>
  <si>
    <t>ADMON YUC</t>
  </si>
  <si>
    <t>ADMON TKT</t>
  </si>
  <si>
    <t>CORP GRAL</t>
  </si>
  <si>
    <t>CORP DIRECCION</t>
  </si>
  <si>
    <t>CORP MFRA</t>
  </si>
  <si>
    <t>CORP SISTEMAS</t>
  </si>
  <si>
    <t>CORP CONTABILIDAD</t>
  </si>
  <si>
    <t>CORP COMPRAS</t>
  </si>
  <si>
    <t>CORP CXC</t>
  </si>
  <si>
    <t>CORP CXP</t>
  </si>
  <si>
    <t>CORP RH</t>
  </si>
  <si>
    <t>CORP TESORERIA</t>
  </si>
  <si>
    <t>CORP GCIA VENTAS</t>
  </si>
  <si>
    <t>EPM GDL y ESP GDL</t>
  </si>
  <si>
    <t>ALMCENES DE NEGOCIO P-CTRL ARTÍCULOS</t>
  </si>
  <si>
    <t>PLANTAS</t>
  </si>
  <si>
    <t>POLIETILENO GDL</t>
  </si>
  <si>
    <t>Producción directa (400, 450, 460, 500, 501, 502,  y 510)</t>
  </si>
  <si>
    <t>12</t>
  </si>
  <si>
    <t>Almacen Vallarta</t>
  </si>
  <si>
    <t>Cd Juarez</t>
  </si>
  <si>
    <t>Cat L/M</t>
  </si>
  <si>
    <t xml:space="preserve">Descripción </t>
  </si>
  <si>
    <t>Cta obj</t>
  </si>
  <si>
    <t>Cuenta aux</t>
  </si>
  <si>
    <t>MP00</t>
  </si>
  <si>
    <t>PP00</t>
  </si>
  <si>
    <t>PT01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</si>
  <si>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</si>
  <si>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</si>
  <si>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</si>
  <si>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</si>
  <si>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</si>
  <si>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</si>
  <si>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</si>
  <si>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</si>
  <si>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</si>
  <si>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</si>
  <si>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</si>
  <si>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</si>
  <si>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</si>
  <si>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Madera</t>
  </si>
  <si>
    <t>0314</t>
  </si>
  <si>
    <t>Mty II</t>
  </si>
  <si>
    <t>Poncitlan</t>
  </si>
  <si>
    <t>OH</t>
  </si>
  <si>
    <t>OG</t>
  </si>
  <si>
    <t>PA</t>
  </si>
  <si>
    <t>P0</t>
  </si>
  <si>
    <t>OV</t>
  </si>
  <si>
    <t>JS</t>
  </si>
  <si>
    <t>ST</t>
  </si>
  <si>
    <t>OT</t>
  </si>
  <si>
    <t>X1 - X9, XA, XB</t>
  </si>
  <si>
    <t>Y1 - Y9, YA, YB</t>
  </si>
  <si>
    <t>R0</t>
  </si>
  <si>
    <t>PI</t>
  </si>
  <si>
    <t>I5</t>
  </si>
  <si>
    <t>I6</t>
  </si>
  <si>
    <t>I8</t>
  </si>
  <si>
    <t>IA</t>
  </si>
  <si>
    <t>IB</t>
  </si>
  <si>
    <t>IF</t>
  </si>
  <si>
    <t>II</t>
  </si>
  <si>
    <t>IJ</t>
  </si>
  <si>
    <t>IL</t>
  </si>
  <si>
    <t>IT</t>
  </si>
  <si>
    <t>IC</t>
  </si>
  <si>
    <t>IM</t>
  </si>
  <si>
    <t>IS</t>
  </si>
  <si>
    <t>IW</t>
  </si>
  <si>
    <t>OL</t>
  </si>
  <si>
    <t>Almacen (SG)</t>
  </si>
  <si>
    <t>Almacen (TOLUCA)</t>
  </si>
  <si>
    <t>Almacen (Corte 1)</t>
  </si>
  <si>
    <t>Almacen (Corte 2)</t>
  </si>
  <si>
    <t>Almacen (ENSAMBLE)</t>
  </si>
  <si>
    <t>Mty III (Resortes)</t>
  </si>
  <si>
    <t>Hda San Jose</t>
  </si>
  <si>
    <t>Ensamble</t>
  </si>
  <si>
    <t>Almacen (Mty 4)</t>
  </si>
  <si>
    <t>Mty I (Telas)</t>
  </si>
  <si>
    <t>Ventas Corp</t>
  </si>
  <si>
    <t>13</t>
  </si>
  <si>
    <t>Cd Juarez 2</t>
  </si>
  <si>
    <t>UNIDADES DE NEGOCIO FINANCIERAS 2024</t>
  </si>
  <si>
    <t>Texas</t>
  </si>
  <si>
    <t>Aseguradora</t>
  </si>
  <si>
    <t>Almacen (servisum)</t>
  </si>
  <si>
    <t>Almacen (Materia Prima)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</si>
</sst>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5"/>
      <name val="Arial"/>
      <family val="2"/>
    </font>
    <font>
      <b/>
      <sz val="12"/>
      <name val="Arial"/>
      <family val="2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quotePrefix="1"/>
    <xf numFmtId="0" fontId="0" fillId="0" borderId="1" xfId="0" applyBorder="1" applyAlignment="1">
      <alignment horizontal="left" wrapText="1"/>
    </xf>
    <xf numFmtId="0" fontId="4" fillId="3" borderId="1" xfId="0" quotePrefix="1" applyFont="1" applyFill="1" applyBorder="1"/>
    <xf numFmtId="0" fontId="5" fillId="0" borderId="1" xfId="0" applyFont="1" applyBorder="1"/>
    <xf numFmtId="0" fontId="5" fillId="0" borderId="1" xfId="0" quotePrefix="1" applyFont="1" applyBorder="1"/>
    <xf numFmtId="0" fontId="4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7" fillId="0" borderId="1" xfId="0" applyFont="1" applyBorder="1"/>
    <xf numFmtId="49" fontId="8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0" fillId="0" borderId="6" xfId="0" quotePrefix="1" applyBorder="1"/>
    <xf numFmtId="0" fontId="0" fillId="0" borderId="7" xfId="0" applyBorder="1" applyAlignment="1">
      <alignment horizontal="left" wrapText="1"/>
    </xf>
    <xf numFmtId="0" fontId="0" fillId="0" borderId="9" xfId="0" quotePrefix="1" applyBorder="1"/>
    <xf numFmtId="0" fontId="0" fillId="0" borderId="9" xfId="0" applyBorder="1"/>
    <xf numFmtId="0" fontId="0" fillId="0" borderId="11" xfId="0" quotePrefix="1" applyBorder="1"/>
    <xf numFmtId="0" fontId="0" fillId="0" borderId="12" xfId="0" applyBorder="1" applyAlignment="1">
      <alignment horizontal="left" wrapText="1"/>
    </xf>
    <xf numFmtId="0" fontId="0" fillId="0" borderId="5" xfId="0" applyBorder="1"/>
    <xf numFmtId="0" fontId="0" fillId="3" borderId="5" xfId="0" quotePrefix="1" applyFill="1" applyBorder="1" applyAlignment="1">
      <alignment horizontal="center" vertical="center"/>
    </xf>
    <xf numFmtId="0" fontId="1" fillId="0" borderId="5" xfId="0" applyFont="1" applyBorder="1" applyAlignment="1">
      <alignment horizontal="left" wrapText="1"/>
    </xf>
    <xf numFmtId="0" fontId="12" fillId="2" borderId="5" xfId="1" applyFont="1" applyFill="1" applyBorder="1" applyAlignment="1">
      <alignment horizontal="left"/>
    </xf>
    <xf numFmtId="0" fontId="13" fillId="2" borderId="5" xfId="1" applyFont="1" applyFill="1" applyBorder="1"/>
    <xf numFmtId="0" fontId="1" fillId="6" borderId="1" xfId="0" applyFont="1" applyFill="1" applyBorder="1"/>
    <xf numFmtId="0" fontId="11" fillId="6" borderId="1" xfId="0" applyFont="1" applyFill="1" applyBorder="1"/>
    <xf numFmtId="0" fontId="0" fillId="6" borderId="1" xfId="0" applyFill="1" applyBorder="1"/>
    <xf numFmtId="0" fontId="0" fillId="6" borderId="9" xfId="0" quotePrefix="1" applyFill="1" applyBorder="1"/>
    <xf numFmtId="0" fontId="0" fillId="6" borderId="1" xfId="0" applyFill="1" applyBorder="1" applyAlignment="1">
      <alignment horizontal="left" wrapText="1"/>
    </xf>
    <xf numFmtId="0" fontId="11" fillId="6" borderId="9" xfId="0" applyFont="1" applyFill="1" applyBorder="1"/>
    <xf numFmtId="0" fontId="0" fillId="6" borderId="9" xfId="0" applyFill="1" applyBorder="1"/>
    <xf numFmtId="0" fontId="1" fillId="6" borderId="10" xfId="0" applyFont="1" applyFill="1" applyBorder="1"/>
    <xf numFmtId="0" fontId="1" fillId="0" borderId="10" xfId="0" applyFont="1" applyBorder="1"/>
    <xf numFmtId="0" fontId="1" fillId="0" borderId="13" xfId="0" applyFont="1" applyBorder="1"/>
    <xf numFmtId="0" fontId="14" fillId="0" borderId="1" xfId="0" applyFont="1" applyBorder="1" applyAlignment="1">
      <alignment horizontal="center" wrapText="1"/>
    </xf>
    <xf numFmtId="0" fontId="1" fillId="0" borderId="7" xfId="0" applyFont="1" applyBorder="1"/>
    <xf numFmtId="0" fontId="0" fillId="0" borderId="8" xfId="0" quotePrefix="1" applyBorder="1"/>
    <xf numFmtId="0" fontId="12" fillId="6" borderId="1" xfId="0" applyFont="1" applyFill="1" applyBorder="1"/>
    <xf numFmtId="0" fontId="12" fillId="6" borderId="10" xfId="0" applyFont="1" applyFill="1" applyBorder="1"/>
    <xf numFmtId="0" fontId="0" fillId="0" borderId="10" xfId="0" applyBorder="1"/>
    <xf numFmtId="0" fontId="1" fillId="0" borderId="10" xfId="0" quotePrefix="1" applyFont="1" applyBorder="1"/>
    <xf numFmtId="0" fontId="1" fillId="0" borderId="1" xfId="0" quotePrefix="1" applyFont="1" applyBorder="1"/>
    <xf numFmtId="0" fontId="1" fillId="6" borderId="1" xfId="0" quotePrefix="1" applyFont="1" applyFill="1" applyBorder="1"/>
    <xf numFmtId="0" fontId="12" fillId="0" borderId="1" xfId="0" applyFont="1" applyBorder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0" fontId="1" fillId="3" borderId="5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8" borderId="1" xfId="0" applyFont="1" applyFill="1" applyBorder="1"/>
    <xf numFmtId="0" fontId="1" fillId="3" borderId="1" xfId="0" applyFont="1" applyFill="1" applyBorder="1"/>
    <xf numFmtId="0" fontId="12" fillId="0" borderId="7" xfId="0" applyFont="1" applyBorder="1"/>
    <xf numFmtId="0" fontId="1" fillId="0" borderId="9" xfId="0" applyFont="1" applyBorder="1"/>
    <xf numFmtId="0" fontId="1" fillId="0" borderId="12" xfId="0" quotePrefix="1" applyFont="1" applyBorder="1"/>
    <xf numFmtId="0" fontId="1" fillId="0" borderId="1" xfId="0" applyFont="1" applyBorder="1" applyAlignment="1">
      <alignment horizontal="left"/>
    </xf>
    <xf numFmtId="0" fontId="12" fillId="0" borderId="14" xfId="0" applyFont="1" applyBorder="1"/>
    <xf numFmtId="0" fontId="12" fillId="6" borderId="15" xfId="0" applyFont="1" applyFill="1" applyBorder="1"/>
    <xf numFmtId="0" fontId="1" fillId="0" borderId="15" xfId="0" applyFont="1" applyBorder="1"/>
    <xf numFmtId="0" fontId="1" fillId="6" borderId="15" xfId="0" applyFont="1" applyFill="1" applyBorder="1"/>
    <xf numFmtId="0" fontId="12" fillId="7" borderId="15" xfId="0" applyFont="1" applyFill="1" applyBorder="1"/>
    <xf numFmtId="0" fontId="1" fillId="0" borderId="15" xfId="0" quotePrefix="1" applyFont="1" applyBorder="1"/>
    <xf numFmtId="0" fontId="1" fillId="6" borderId="15" xfId="0" quotePrefix="1" applyFont="1" applyFill="1" applyBorder="1"/>
    <xf numFmtId="0" fontId="1" fillId="0" borderId="16" xfId="0" quotePrefix="1" applyFont="1" applyBorder="1"/>
    <xf numFmtId="0" fontId="10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2" fillId="0" borderId="1" xfId="0" applyFont="1" applyBorder="1" applyAlignment="1">
      <alignment horizontal="left"/>
    </xf>
  </cellXfs>
  <cellStyles count="2">
    <cellStyle name="Énfasis3" xfId="1" builtinId="37"/>
    <cellStyle name="Normal" xfId="0" builtinId="0"/>
  </cellStyles>
  <dxfs count="16">
    <dxf>
      <fill>
        <patternFill>
          <bgColor theme="8" tint="0.39994506668294322"/>
        </patternFill>
      </fill>
    </dxf>
    <dxf>
      <font>
        <color rgb="FF002060"/>
      </font>
    </dxf>
    <dxf>
      <fill>
        <patternFill>
          <bgColor theme="8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2060"/>
      </font>
    </dxf>
    <dxf>
      <fill>
        <patternFill>
          <bgColor theme="8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2060"/>
      </font>
    </dxf>
    <dxf>
      <fill>
        <patternFill>
          <bgColor theme="8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2060"/>
      </font>
    </dxf>
    <dxf>
      <fill>
        <patternFill>
          <bgColor theme="8" tint="0.39994506668294322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660400</xdr:colOff>
      <xdr:row>0</xdr:row>
      <xdr:rowOff>2</xdr:rowOff>
    </xdr:from>
    <xdr:to>
      <xdr:col>1</xdr:col>
      <xdr:colOff>1565275</xdr:colOff>
      <xdr:row>0</xdr:row>
      <xdr:rowOff>486834</xdr:rowOff>
    </xdr:to>
    <xdr:pic>
      <xdr:nvPicPr>
        <xdr:cNvPr id="2" name="Imagen 1025">
          <a:extLst>
            <a:ext uri="{FF2B5EF4-FFF2-40B4-BE49-F238E27FC236}">
              <a16:creationId xmlns:a16="http://schemas.microsoft.com/office/drawing/2014/main" id="{4E0FD8DF-1D28-4413-8136-C7AD64524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075" y="2"/>
          <a:ext cx="904875" cy="486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AB33"/>
  <sheetViews>
    <sheetView tabSelected="1" zoomScale="90" zoomScaleNormal="90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O5" sqref="O5"/>
    </sheetView>
  </sheetViews>
  <sheetFormatPr baseColWidth="10" defaultRowHeight="14.5" outlineLevelRow="1" x14ac:dyDescent="0.35"/>
  <cols>
    <col min="1" max="1" width="6.7265625" customWidth="1"/>
    <col min="2" max="2" width="34.453125" customWidth="1"/>
    <col min="3" max="3" width="11.1796875" customWidth="1"/>
    <col min="4" max="11" width="9.54296875" customWidth="1"/>
    <col min="12" max="12" width="11.1796875" customWidth="1"/>
    <col min="13" max="13" width="9.54296875" customWidth="1"/>
    <col min="14" max="15" width="10.1796875" customWidth="1"/>
    <col min="16" max="16" width="11.26953125" customWidth="1"/>
    <col min="17" max="17" width="3.1796875" customWidth="1"/>
    <col min="18" max="18" width="27.453125" style="8" hidden="1" customWidth="1"/>
    <col min="19" max="19" width="21" style="8" hidden="1" customWidth="1"/>
    <col min="20" max="20" width="17.7265625" style="8" hidden="1" customWidth="1"/>
    <col min="21" max="21" width="23" style="8" hidden="1" customWidth="1"/>
    <col min="22" max="22" width="17.7265625" style="8" hidden="1" customWidth="1"/>
    <col min="23" max="23" width="22.453125" style="8" hidden="1" customWidth="1"/>
    <col min="24" max="24" width="26" style="8" hidden="1" customWidth="1"/>
    <col min="25" max="25" width="10.7265625" customWidth="1"/>
  </cols>
  <sheetData>
    <row r="1" spans="1:28" ht="39.75" customHeight="1" thickBot="1" x14ac:dyDescent="0.5">
      <c r="A1" s="26" t="s">
        <v>48</v>
      </c>
      <c r="B1" s="25">
        <v>1</v>
      </c>
      <c r="C1" s="67" t="s">
        <v>185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R1" s="68" t="s">
        <v>114</v>
      </c>
      <c r="S1" s="69"/>
      <c r="T1" s="69"/>
      <c r="U1" s="69"/>
      <c r="V1" s="69"/>
      <c r="W1" s="69"/>
      <c r="X1" s="70"/>
    </row>
    <row r="2" spans="1:28" ht="15" thickBot="1" x14ac:dyDescent="0.4">
      <c r="A2" s="71" t="s">
        <v>115</v>
      </c>
      <c r="B2" s="71"/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25</v>
      </c>
      <c r="L2" s="23">
        <v>10</v>
      </c>
      <c r="M2" s="23">
        <v>11</v>
      </c>
      <c r="N2" s="23">
        <v>12</v>
      </c>
      <c r="O2" s="23">
        <v>13</v>
      </c>
      <c r="P2" s="23" t="s">
        <v>27</v>
      </c>
      <c r="Q2" s="3"/>
      <c r="R2" s="5" t="s">
        <v>2</v>
      </c>
      <c r="S2" s="5" t="s">
        <v>3</v>
      </c>
      <c r="T2" s="5" t="s">
        <v>4</v>
      </c>
      <c r="U2" s="5" t="s">
        <v>5</v>
      </c>
      <c r="V2" s="5" t="s">
        <v>6</v>
      </c>
      <c r="W2" s="5" t="s">
        <v>7</v>
      </c>
      <c r="X2" s="5" t="s">
        <v>27</v>
      </c>
      <c r="Y2" s="3"/>
    </row>
    <row r="3" spans="1:28" ht="29.5" thickBot="1" x14ac:dyDescent="0.4">
      <c r="A3" s="22" t="s">
        <v>42</v>
      </c>
      <c r="B3" s="24" t="s">
        <v>117</v>
      </c>
      <c r="C3" s="51" t="s">
        <v>50</v>
      </c>
      <c r="D3" s="51" t="s">
        <v>36</v>
      </c>
      <c r="E3" s="51" t="s">
        <v>49</v>
      </c>
      <c r="F3" s="51" t="s">
        <v>143</v>
      </c>
      <c r="G3" s="51" t="s">
        <v>38</v>
      </c>
      <c r="H3" s="51" t="s">
        <v>35</v>
      </c>
      <c r="I3" s="51" t="s">
        <v>181</v>
      </c>
      <c r="J3" s="51" t="s">
        <v>120</v>
      </c>
      <c r="K3" s="51" t="s">
        <v>144</v>
      </c>
      <c r="L3" s="51" t="s">
        <v>184</v>
      </c>
      <c r="M3" s="51" t="s">
        <v>178</v>
      </c>
      <c r="N3" s="51" t="s">
        <v>177</v>
      </c>
      <c r="O3" s="51" t="s">
        <v>186</v>
      </c>
      <c r="P3" s="51" t="s">
        <v>40</v>
      </c>
      <c r="Q3" s="1"/>
      <c r="R3" s="6" t="s">
        <v>50</v>
      </c>
      <c r="S3" s="6" t="s">
        <v>36</v>
      </c>
      <c r="T3" s="6" t="s">
        <v>49</v>
      </c>
      <c r="U3" s="6" t="s">
        <v>37</v>
      </c>
      <c r="V3" s="6" t="s">
        <v>38</v>
      </c>
      <c r="W3" s="6" t="s">
        <v>35</v>
      </c>
      <c r="X3" s="6" t="s">
        <v>40</v>
      </c>
      <c r="Y3" s="1"/>
    </row>
    <row r="4" spans="1:28" x14ac:dyDescent="0.35">
      <c r="A4" s="16" t="s">
        <v>2</v>
      </c>
      <c r="B4" s="17" t="s">
        <v>75</v>
      </c>
      <c r="C4" s="55" t="str">
        <f t="shared" ref="C4:N16" si="0">$B$1&amp;C$2&amp;$A4</f>
        <v>10101</v>
      </c>
      <c r="D4" s="55" t="str">
        <f t="shared" si="0"/>
        <v>10201</v>
      </c>
      <c r="E4" s="55" t="str">
        <f t="shared" si="0"/>
        <v>10301</v>
      </c>
      <c r="F4" s="55" t="str">
        <f t="shared" si="0"/>
        <v>10401</v>
      </c>
      <c r="G4" s="55"/>
      <c r="H4" s="55" t="str">
        <f t="shared" si="0"/>
        <v>10601</v>
      </c>
      <c r="I4" s="38"/>
      <c r="J4" s="38"/>
      <c r="K4" s="38"/>
      <c r="L4" s="55" t="str">
        <f t="shared" si="0"/>
        <v>11001</v>
      </c>
      <c r="M4" s="55"/>
      <c r="N4" s="55"/>
      <c r="O4" s="59"/>
      <c r="P4" s="39"/>
      <c r="Q4" s="3"/>
      <c r="R4" s="6" t="s">
        <v>113</v>
      </c>
      <c r="S4" s="6" t="s">
        <v>90</v>
      </c>
      <c r="T4" s="6" t="s">
        <v>91</v>
      </c>
      <c r="U4" s="6" t="s">
        <v>92</v>
      </c>
      <c r="V4" s="6" t="s">
        <v>93</v>
      </c>
      <c r="W4" s="6" t="s">
        <v>94</v>
      </c>
      <c r="X4" s="7"/>
      <c r="Y4" s="3"/>
      <c r="AB4" t="s">
        <v>41</v>
      </c>
    </row>
    <row r="5" spans="1:28" x14ac:dyDescent="0.35">
      <c r="A5" s="32" t="s">
        <v>3</v>
      </c>
      <c r="B5" s="28" t="s">
        <v>179</v>
      </c>
      <c r="C5" s="40" t="str">
        <f t="shared" si="0"/>
        <v>10102</v>
      </c>
      <c r="D5" s="40" t="str">
        <f t="shared" si="0"/>
        <v>10202</v>
      </c>
      <c r="E5" s="40" t="str">
        <f t="shared" si="0"/>
        <v>10302</v>
      </c>
      <c r="F5" s="40" t="str">
        <f t="shared" si="0"/>
        <v>10402</v>
      </c>
      <c r="G5" s="40" t="str">
        <f t="shared" si="0"/>
        <v>10502</v>
      </c>
      <c r="H5" s="40" t="str">
        <f t="shared" si="0"/>
        <v>10602</v>
      </c>
      <c r="I5" s="40"/>
      <c r="J5" s="40" t="str">
        <f t="shared" si="0"/>
        <v>10802</v>
      </c>
      <c r="K5" s="40" t="str">
        <f t="shared" si="0"/>
        <v>10902</v>
      </c>
      <c r="L5" s="40" t="str">
        <f t="shared" si="0"/>
        <v>11002</v>
      </c>
      <c r="M5" s="40"/>
      <c r="N5" s="40"/>
      <c r="O5" s="63"/>
      <c r="P5" s="41"/>
      <c r="R5" s="6" t="s">
        <v>84</v>
      </c>
      <c r="S5" s="6" t="s">
        <v>86</v>
      </c>
      <c r="T5" s="6" t="s">
        <v>85</v>
      </c>
      <c r="U5" s="6" t="s">
        <v>87</v>
      </c>
      <c r="V5" s="6" t="s">
        <v>88</v>
      </c>
      <c r="W5" s="6" t="s">
        <v>89</v>
      </c>
      <c r="X5" s="6"/>
    </row>
    <row r="6" spans="1:28" outlineLevel="1" x14ac:dyDescent="0.35">
      <c r="A6" s="32"/>
      <c r="B6" s="29" t="s">
        <v>173</v>
      </c>
      <c r="C6" s="40"/>
      <c r="D6" s="40"/>
      <c r="E6" s="50">
        <v>1030201</v>
      </c>
      <c r="F6" s="40"/>
      <c r="G6" s="40"/>
      <c r="H6" s="40"/>
      <c r="I6" s="40"/>
      <c r="J6" s="40"/>
      <c r="K6" s="40"/>
      <c r="L6" s="40"/>
      <c r="M6" s="40"/>
      <c r="N6" s="40"/>
      <c r="O6" s="60"/>
      <c r="P6" s="41"/>
      <c r="R6" s="6"/>
      <c r="S6" s="6"/>
      <c r="T6" s="6"/>
      <c r="U6" s="6"/>
      <c r="V6" s="6"/>
      <c r="W6" s="6"/>
      <c r="X6" s="6"/>
    </row>
    <row r="7" spans="1:28" outlineLevel="1" x14ac:dyDescent="0.35">
      <c r="A7" s="32"/>
      <c r="B7" s="29" t="s">
        <v>174</v>
      </c>
      <c r="C7" s="50">
        <v>1010201</v>
      </c>
      <c r="D7" s="40"/>
      <c r="E7" s="50"/>
      <c r="F7" s="40"/>
      <c r="G7" s="40"/>
      <c r="H7" s="40"/>
      <c r="I7" s="40"/>
      <c r="J7" s="40"/>
      <c r="K7" s="40"/>
      <c r="L7" s="40"/>
      <c r="M7" s="40"/>
      <c r="N7" s="40"/>
      <c r="O7" s="60"/>
      <c r="P7" s="41"/>
      <c r="R7" s="6"/>
      <c r="S7" s="6"/>
      <c r="T7" s="6"/>
      <c r="U7" s="6"/>
      <c r="V7" s="6"/>
      <c r="W7" s="6"/>
      <c r="X7" s="6"/>
    </row>
    <row r="8" spans="1:28" outlineLevel="1" x14ac:dyDescent="0.35">
      <c r="A8" s="32"/>
      <c r="B8" s="29" t="s">
        <v>175</v>
      </c>
      <c r="C8" s="50">
        <v>1010202</v>
      </c>
      <c r="D8" s="40"/>
      <c r="E8" s="50"/>
      <c r="F8" s="40"/>
      <c r="G8" s="40"/>
      <c r="H8" s="40"/>
      <c r="I8" s="40"/>
      <c r="J8" s="40"/>
      <c r="K8" s="40"/>
      <c r="L8" s="40"/>
      <c r="M8" s="40"/>
      <c r="N8" s="40"/>
      <c r="O8" s="60"/>
      <c r="P8" s="41"/>
      <c r="R8" s="6"/>
      <c r="S8" s="6"/>
      <c r="T8" s="6"/>
      <c r="U8" s="6"/>
      <c r="V8" s="6"/>
      <c r="W8" s="6"/>
      <c r="X8" s="6"/>
    </row>
    <row r="9" spans="1:28" outlineLevel="1" x14ac:dyDescent="0.35">
      <c r="A9" s="32"/>
      <c r="B9" s="29" t="s">
        <v>180</v>
      </c>
      <c r="C9" s="50"/>
      <c r="D9" s="40"/>
      <c r="E9" s="50"/>
      <c r="F9" s="50">
        <v>1040201</v>
      </c>
      <c r="G9" s="40"/>
      <c r="H9" s="40"/>
      <c r="I9" s="40"/>
      <c r="J9" s="40"/>
      <c r="K9" s="40"/>
      <c r="L9" s="40"/>
      <c r="M9" s="40"/>
      <c r="N9" s="40"/>
      <c r="O9" s="60"/>
      <c r="P9" s="41"/>
      <c r="R9" s="6"/>
      <c r="S9" s="6"/>
      <c r="T9" s="6"/>
      <c r="U9" s="6"/>
      <c r="V9" s="6"/>
      <c r="W9" s="6"/>
      <c r="X9" s="6"/>
    </row>
    <row r="10" spans="1:28" x14ac:dyDescent="0.35">
      <c r="A10" s="18" t="s">
        <v>4</v>
      </c>
      <c r="B10" s="4" t="s">
        <v>52</v>
      </c>
      <c r="C10" s="46" t="str">
        <f t="shared" si="0"/>
        <v>10103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61"/>
      <c r="P10" s="42"/>
      <c r="R10" s="6" t="s">
        <v>116</v>
      </c>
      <c r="S10" s="6"/>
      <c r="T10" s="6"/>
      <c r="U10" s="6"/>
      <c r="V10" s="6"/>
      <c r="W10" s="6"/>
      <c r="X10" s="6"/>
      <c r="AB10" t="s">
        <v>72</v>
      </c>
    </row>
    <row r="11" spans="1:28" x14ac:dyDescent="0.35">
      <c r="A11" s="18"/>
      <c r="B11" s="4" t="s">
        <v>189</v>
      </c>
      <c r="C11" s="72">
        <v>1010301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61"/>
      <c r="P11" s="42"/>
      <c r="R11" s="6"/>
      <c r="S11" s="6"/>
      <c r="T11" s="6"/>
      <c r="U11" s="6"/>
      <c r="V11" s="6"/>
      <c r="W11" s="6"/>
      <c r="X11" s="6"/>
    </row>
    <row r="12" spans="1:28" x14ac:dyDescent="0.35">
      <c r="A12" s="33" t="s">
        <v>7</v>
      </c>
      <c r="B12" s="29" t="s">
        <v>53</v>
      </c>
      <c r="C12" s="27" t="str">
        <f t="shared" si="0"/>
        <v>10106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62"/>
      <c r="P12" s="34"/>
      <c r="R12" s="6" t="s">
        <v>31</v>
      </c>
      <c r="S12" s="6"/>
      <c r="T12" s="6"/>
      <c r="U12" s="6"/>
      <c r="V12" s="6"/>
      <c r="W12" s="6"/>
      <c r="X12" s="6"/>
    </row>
    <row r="13" spans="1:28" x14ac:dyDescent="0.35">
      <c r="A13" s="19" t="s">
        <v>9</v>
      </c>
      <c r="B13" s="52" t="s">
        <v>55</v>
      </c>
      <c r="C13" s="2"/>
      <c r="D13" s="2"/>
      <c r="E13" s="2"/>
      <c r="F13" s="2"/>
      <c r="G13" s="2" t="str">
        <f>$B$1&amp;G$2&amp;$A13</f>
        <v>10508</v>
      </c>
      <c r="H13" s="2"/>
      <c r="I13" s="2"/>
      <c r="J13" s="2"/>
      <c r="K13" s="2"/>
      <c r="L13" s="2"/>
      <c r="M13" s="2" t="str">
        <f t="shared" si="0"/>
        <v>11108</v>
      </c>
      <c r="N13" s="2"/>
      <c r="O13" s="61"/>
      <c r="P13" s="35"/>
      <c r="R13" s="6" t="s">
        <v>28</v>
      </c>
      <c r="S13" s="6"/>
      <c r="T13" s="6"/>
      <c r="U13" s="6"/>
      <c r="V13" s="6" t="s">
        <v>95</v>
      </c>
      <c r="W13" s="6"/>
      <c r="X13" s="6"/>
    </row>
    <row r="14" spans="1:28" x14ac:dyDescent="0.35">
      <c r="A14" s="33" t="s">
        <v>10</v>
      </c>
      <c r="B14" s="29" t="s">
        <v>56</v>
      </c>
      <c r="C14" s="27"/>
      <c r="D14" s="27"/>
      <c r="E14" s="27"/>
      <c r="F14" s="27"/>
      <c r="G14" s="27"/>
      <c r="H14" s="27"/>
      <c r="I14" s="27" t="str">
        <f>$B$1&amp;$I$2&amp;$A14</f>
        <v>10710</v>
      </c>
      <c r="J14" s="27"/>
      <c r="K14" s="27"/>
      <c r="L14" s="27"/>
      <c r="M14" s="27"/>
      <c r="N14" s="27"/>
      <c r="O14" s="62"/>
      <c r="P14" s="34"/>
      <c r="R14" s="6"/>
      <c r="S14" s="6"/>
      <c r="T14" s="6"/>
      <c r="U14" s="6" t="s">
        <v>98</v>
      </c>
      <c r="V14" s="6"/>
      <c r="W14" s="6"/>
      <c r="X14" s="6"/>
    </row>
    <row r="15" spans="1:28" x14ac:dyDescent="0.35">
      <c r="A15" s="18" t="s">
        <v>26</v>
      </c>
      <c r="B15" s="4" t="s">
        <v>57</v>
      </c>
      <c r="C15" s="46"/>
      <c r="D15" s="2"/>
      <c r="E15" s="2"/>
      <c r="F15" s="46"/>
      <c r="G15" s="2"/>
      <c r="H15" s="46"/>
      <c r="I15" s="2"/>
      <c r="J15" s="2"/>
      <c r="K15" s="2"/>
      <c r="L15" s="2"/>
      <c r="M15" s="46"/>
      <c r="N15" s="46" t="str">
        <f t="shared" si="0"/>
        <v>11211</v>
      </c>
      <c r="O15" s="42"/>
      <c r="P15" s="42"/>
      <c r="R15" s="6"/>
      <c r="S15" s="6"/>
      <c r="T15" s="6"/>
      <c r="U15" s="6" t="s">
        <v>96</v>
      </c>
      <c r="V15" s="6"/>
      <c r="W15" s="6" t="s">
        <v>97</v>
      </c>
      <c r="X15" s="6"/>
    </row>
    <row r="16" spans="1:28" x14ac:dyDescent="0.35">
      <c r="A16" s="33" t="s">
        <v>118</v>
      </c>
      <c r="B16" s="29" t="s">
        <v>119</v>
      </c>
      <c r="C16" s="27" t="str">
        <f t="shared" si="0"/>
        <v>10112</v>
      </c>
      <c r="D16" s="27"/>
      <c r="E16" s="27"/>
      <c r="F16" s="27" t="str">
        <f t="shared" ref="F16" si="1">$B$1&amp;F$2&amp;$A16</f>
        <v>10412</v>
      </c>
      <c r="G16" s="27"/>
      <c r="H16" s="27"/>
      <c r="I16" s="27"/>
      <c r="J16" s="27"/>
      <c r="K16" s="27"/>
      <c r="L16" s="27"/>
      <c r="M16" s="27"/>
      <c r="N16" s="27"/>
      <c r="O16" s="62"/>
      <c r="P16" s="34"/>
      <c r="R16" s="6"/>
      <c r="S16" s="6"/>
      <c r="T16" s="6"/>
      <c r="U16" s="6"/>
      <c r="V16" s="6"/>
      <c r="W16" s="6"/>
      <c r="X16" s="6"/>
    </row>
    <row r="17" spans="1:27" outlineLevel="1" x14ac:dyDescent="0.35">
      <c r="A17" s="33"/>
      <c r="B17" s="29" t="s">
        <v>188</v>
      </c>
      <c r="C17" s="49">
        <v>1011201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62"/>
      <c r="P17" s="34"/>
      <c r="R17" s="6"/>
      <c r="S17" s="6"/>
      <c r="T17" s="6"/>
      <c r="U17" s="6"/>
      <c r="V17" s="6"/>
      <c r="W17" s="6"/>
      <c r="X17" s="6"/>
    </row>
    <row r="18" spans="1:27" outlineLevel="1" x14ac:dyDescent="0.35">
      <c r="A18" s="33"/>
      <c r="B18" s="29" t="s">
        <v>172</v>
      </c>
      <c r="C18" s="49">
        <v>1011202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62"/>
      <c r="P18" s="34"/>
      <c r="R18" s="6"/>
      <c r="S18" s="6"/>
      <c r="T18" s="6"/>
      <c r="U18" s="6"/>
      <c r="V18" s="6"/>
      <c r="W18" s="6"/>
      <c r="X18" s="6"/>
    </row>
    <row r="19" spans="1:27" outlineLevel="1" x14ac:dyDescent="0.35">
      <c r="A19" s="33"/>
      <c r="B19" s="29" t="s">
        <v>176</v>
      </c>
      <c r="C19" s="49">
        <v>1011203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62"/>
      <c r="P19" s="34"/>
      <c r="R19" s="6"/>
      <c r="S19" s="6"/>
      <c r="T19" s="6"/>
      <c r="U19" s="6"/>
      <c r="V19" s="6"/>
      <c r="W19" s="6"/>
      <c r="X19" s="6"/>
    </row>
    <row r="20" spans="1:27" x14ac:dyDescent="0.35">
      <c r="A20" s="18" t="s">
        <v>183</v>
      </c>
      <c r="B20" s="52" t="s">
        <v>187</v>
      </c>
      <c r="C20" s="58"/>
      <c r="D20" s="2"/>
      <c r="E20" s="46" t="str">
        <f t="shared" ref="E20:F20" si="2">$B$1&amp;E$2&amp;$A20</f>
        <v>10313</v>
      </c>
      <c r="F20" s="46" t="str">
        <f t="shared" si="2"/>
        <v>10413</v>
      </c>
      <c r="G20" s="2"/>
      <c r="H20" s="2"/>
      <c r="I20" s="2"/>
      <c r="J20" s="2"/>
      <c r="K20" s="2"/>
      <c r="L20" s="2"/>
      <c r="M20" s="2"/>
      <c r="N20" s="2"/>
      <c r="O20" s="61"/>
      <c r="P20" s="35"/>
      <c r="R20" s="6"/>
      <c r="S20" s="6"/>
      <c r="T20" s="6"/>
      <c r="U20" s="6"/>
      <c r="V20" s="6"/>
      <c r="W20" s="6"/>
      <c r="X20" s="6"/>
    </row>
    <row r="21" spans="1:27" x14ac:dyDescent="0.35">
      <c r="A21" s="56" t="s">
        <v>11</v>
      </c>
      <c r="B21" s="2" t="s">
        <v>58</v>
      </c>
      <c r="C21" s="2" t="str">
        <f t="shared" ref="C21:H21" si="3">$B$1&amp;C$2&amp;$A21</f>
        <v>10120</v>
      </c>
      <c r="D21" s="53" t="str">
        <f t="shared" si="3"/>
        <v>10220</v>
      </c>
      <c r="E21" s="54" t="str">
        <f t="shared" si="3"/>
        <v>10320</v>
      </c>
      <c r="F21" s="2" t="str">
        <f t="shared" si="3"/>
        <v>10420</v>
      </c>
      <c r="G21" s="2" t="str">
        <f t="shared" si="3"/>
        <v>10520</v>
      </c>
      <c r="H21" s="2" t="str">
        <f t="shared" si="3"/>
        <v>10620</v>
      </c>
      <c r="I21" s="2"/>
      <c r="J21" s="2"/>
      <c r="K21" s="2"/>
      <c r="L21" s="2" t="str">
        <f t="shared" ref="L21" si="4">$B$1&amp;L$2&amp;$A21</f>
        <v>11020</v>
      </c>
      <c r="M21" s="2"/>
      <c r="N21" s="2"/>
      <c r="O21" s="61"/>
      <c r="P21" s="43"/>
      <c r="Q21" s="3"/>
      <c r="R21" s="6" t="s">
        <v>99</v>
      </c>
      <c r="S21" s="6" t="s">
        <v>29</v>
      </c>
      <c r="T21" s="6" t="s">
        <v>30</v>
      </c>
      <c r="U21" s="6" t="s">
        <v>34</v>
      </c>
      <c r="V21" s="6" t="s">
        <v>100</v>
      </c>
      <c r="W21" s="6" t="s">
        <v>101</v>
      </c>
      <c r="X21" s="7"/>
      <c r="Y21" s="3"/>
      <c r="AA21" t="s">
        <v>66</v>
      </c>
    </row>
    <row r="22" spans="1:27" ht="15.5" x14ac:dyDescent="0.35">
      <c r="A22" s="19"/>
      <c r="B22" s="37" t="s">
        <v>51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61"/>
      <c r="P22" s="35"/>
      <c r="R22" s="6"/>
      <c r="S22" s="6"/>
      <c r="T22" s="6"/>
      <c r="U22" s="6"/>
      <c r="V22" s="6"/>
      <c r="W22" s="6"/>
      <c r="X22" s="6"/>
    </row>
    <row r="23" spans="1:27" x14ac:dyDescent="0.35">
      <c r="A23" s="18" t="s">
        <v>43</v>
      </c>
      <c r="B23" s="4" t="s">
        <v>74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64"/>
      <c r="P23" s="35" t="str">
        <f t="shared" ref="P23:P33" si="5">$B$1&amp;P$2&amp;$A23</f>
        <v>15041</v>
      </c>
      <c r="Q23" s="3"/>
      <c r="R23" s="7"/>
      <c r="S23" s="7"/>
      <c r="T23" s="7"/>
      <c r="U23" s="7"/>
      <c r="V23" s="7"/>
      <c r="W23" s="7"/>
      <c r="X23" s="6" t="s">
        <v>102</v>
      </c>
      <c r="Y23" s="3"/>
    </row>
    <row r="24" spans="1:27" x14ac:dyDescent="0.35">
      <c r="A24" s="30" t="s">
        <v>44</v>
      </c>
      <c r="B24" s="31" t="s">
        <v>39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65"/>
      <c r="P24" s="34" t="str">
        <f t="shared" si="5"/>
        <v>15042</v>
      </c>
      <c r="Q24" s="3"/>
      <c r="R24" s="7"/>
      <c r="S24" s="7"/>
      <c r="T24" s="7"/>
      <c r="U24" s="7"/>
      <c r="V24" s="7"/>
      <c r="W24" s="7"/>
      <c r="X24" s="6" t="s">
        <v>103</v>
      </c>
      <c r="Y24" s="3"/>
    </row>
    <row r="25" spans="1:27" x14ac:dyDescent="0.35">
      <c r="A25" s="18" t="s">
        <v>45</v>
      </c>
      <c r="B25" s="4" t="s">
        <v>73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64"/>
      <c r="P25" s="35" t="str">
        <f t="shared" si="5"/>
        <v>15043</v>
      </c>
      <c r="Q25" s="3"/>
      <c r="R25" s="7"/>
      <c r="S25" s="7"/>
      <c r="T25" s="7"/>
      <c r="U25" s="7"/>
      <c r="V25" s="7"/>
      <c r="W25" s="7"/>
      <c r="X25" s="6" t="s">
        <v>104</v>
      </c>
      <c r="Y25" s="3"/>
    </row>
    <row r="26" spans="1:27" x14ac:dyDescent="0.35">
      <c r="A26" s="30" t="s">
        <v>46</v>
      </c>
      <c r="B26" s="31" t="s">
        <v>182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65"/>
      <c r="P26" s="34" t="str">
        <f t="shared" si="5"/>
        <v>15044</v>
      </c>
      <c r="Q26" s="3"/>
      <c r="R26" s="7"/>
      <c r="S26" s="7"/>
      <c r="T26" s="7"/>
      <c r="U26" s="7"/>
      <c r="V26" s="7"/>
      <c r="W26" s="7"/>
      <c r="X26" s="6" t="s">
        <v>112</v>
      </c>
      <c r="Y26" s="3"/>
    </row>
    <row r="27" spans="1:27" x14ac:dyDescent="0.35">
      <c r="A27" s="18" t="s">
        <v>47</v>
      </c>
      <c r="B27" s="4" t="s">
        <v>59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64"/>
      <c r="P27" s="35" t="str">
        <f t="shared" si="5"/>
        <v>15045</v>
      </c>
      <c r="Q27" s="3"/>
      <c r="R27" s="7"/>
      <c r="S27" s="7"/>
      <c r="T27" s="7"/>
      <c r="U27" s="7"/>
      <c r="V27" s="7"/>
      <c r="W27" s="7"/>
      <c r="X27" s="6" t="s">
        <v>105</v>
      </c>
      <c r="Y27" s="3"/>
    </row>
    <row r="28" spans="1:27" x14ac:dyDescent="0.35">
      <c r="A28" s="30" t="s">
        <v>67</v>
      </c>
      <c r="B28" s="31" t="s">
        <v>60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65"/>
      <c r="P28" s="34" t="str">
        <f t="shared" si="5"/>
        <v>15046</v>
      </c>
      <c r="Q28" s="3"/>
      <c r="R28" s="7"/>
      <c r="S28" s="7"/>
      <c r="T28" s="7"/>
      <c r="U28" s="7"/>
      <c r="V28" s="7"/>
      <c r="W28" s="7"/>
      <c r="X28" s="6" t="s">
        <v>106</v>
      </c>
      <c r="Y28" s="3"/>
    </row>
    <row r="29" spans="1:27" x14ac:dyDescent="0.35">
      <c r="A29" s="18" t="s">
        <v>68</v>
      </c>
      <c r="B29" s="4" t="s">
        <v>61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64"/>
      <c r="P29" s="35" t="str">
        <f t="shared" si="5"/>
        <v>15047</v>
      </c>
      <c r="Q29" s="3"/>
      <c r="R29" s="7"/>
      <c r="S29" s="7"/>
      <c r="T29" s="7"/>
      <c r="U29" s="7"/>
      <c r="V29" s="7"/>
      <c r="W29" s="7"/>
      <c r="X29" s="6" t="s">
        <v>107</v>
      </c>
      <c r="Y29" s="3"/>
    </row>
    <row r="30" spans="1:27" x14ac:dyDescent="0.35">
      <c r="A30" s="30" t="s">
        <v>69</v>
      </c>
      <c r="B30" s="31" t="s">
        <v>62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65"/>
      <c r="P30" s="34" t="str">
        <f t="shared" si="5"/>
        <v>15048</v>
      </c>
      <c r="Q30" s="3"/>
      <c r="R30" s="7"/>
      <c r="S30" s="7"/>
      <c r="T30" s="7"/>
      <c r="U30" s="7"/>
      <c r="V30" s="7"/>
      <c r="W30" s="7"/>
      <c r="X30" s="6" t="s">
        <v>108</v>
      </c>
      <c r="Y30" s="3"/>
    </row>
    <row r="31" spans="1:27" x14ac:dyDescent="0.35">
      <c r="A31" s="18" t="s">
        <v>70</v>
      </c>
      <c r="B31" s="4" t="s">
        <v>63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64"/>
      <c r="P31" s="35" t="str">
        <f t="shared" si="5"/>
        <v>15049</v>
      </c>
      <c r="Q31" s="3"/>
      <c r="R31" s="7"/>
      <c r="S31" s="7"/>
      <c r="T31" s="7"/>
      <c r="U31" s="7"/>
      <c r="V31" s="7"/>
      <c r="W31" s="7"/>
      <c r="X31" s="6" t="s">
        <v>109</v>
      </c>
      <c r="Y31" s="3"/>
    </row>
    <row r="32" spans="1:27" x14ac:dyDescent="0.35">
      <c r="A32" s="30" t="s">
        <v>27</v>
      </c>
      <c r="B32" s="31" t="s">
        <v>64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65"/>
      <c r="P32" s="34" t="str">
        <f t="shared" si="5"/>
        <v>15050</v>
      </c>
      <c r="Q32" s="3"/>
      <c r="R32" s="7"/>
      <c r="S32" s="7"/>
      <c r="T32" s="7"/>
      <c r="U32" s="7"/>
      <c r="V32" s="7"/>
      <c r="W32" s="7"/>
      <c r="X32" s="6" t="s">
        <v>110</v>
      </c>
      <c r="Y32" s="3"/>
    </row>
    <row r="33" spans="1:25" ht="15" thickBot="1" x14ac:dyDescent="0.4">
      <c r="A33" s="20" t="s">
        <v>71</v>
      </c>
      <c r="B33" s="21" t="s">
        <v>65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66"/>
      <c r="P33" s="36" t="str">
        <f t="shared" si="5"/>
        <v>15051</v>
      </c>
      <c r="Q33" s="3"/>
      <c r="R33" s="7"/>
      <c r="S33" s="7"/>
      <c r="T33" s="7"/>
      <c r="U33" s="7"/>
      <c r="V33" s="7"/>
      <c r="W33" s="7"/>
      <c r="X33" s="6" t="s">
        <v>111</v>
      </c>
      <c r="Y33" s="3"/>
    </row>
  </sheetData>
  <mergeCells count="3">
    <mergeCell ref="C1:P1"/>
    <mergeCell ref="R1:X1"/>
    <mergeCell ref="A2:B2"/>
  </mergeCells>
  <phoneticPr fontId="17" type="noConversion"/>
  <conditionalFormatting sqref="A21:L21">
    <cfRule type="cellIs" dxfId="15" priority="4" operator="greaterThan">
      <formula>0</formula>
    </cfRule>
    <cfRule type="cellIs" dxfId="14" priority="5" operator="greaterThan">
      <formula>0</formula>
    </cfRule>
    <cfRule type="cellIs" dxfId="13" priority="6" operator="greaterThan">
      <formula>0</formula>
    </cfRule>
  </conditionalFormatting>
  <conditionalFormatting sqref="C22:L33">
    <cfRule type="cellIs" dxfId="12" priority="49" operator="greaterThan">
      <formula>0</formula>
    </cfRule>
  </conditionalFormatting>
  <conditionalFormatting sqref="F28">
    <cfRule type="cellIs" dxfId="11" priority="43" operator="greaterThan">
      <formula>0</formula>
    </cfRule>
  </conditionalFormatting>
  <conditionalFormatting sqref="I4:K4 D15:E15 G15 I15:L15">
    <cfRule type="cellIs" dxfId="10" priority="41" operator="greaterThan">
      <formula>0</formula>
    </cfRule>
  </conditionalFormatting>
  <conditionalFormatting sqref="M21:O33">
    <cfRule type="cellIs" dxfId="9" priority="1" operator="greaterThan">
      <formula>0</formula>
    </cfRule>
    <cfRule type="cellIs" dxfId="8" priority="2" operator="greaterThan">
      <formula>0</formula>
    </cfRule>
    <cfRule type="cellIs" dxfId="7" priority="3" operator="greaterThan">
      <formula>0</formula>
    </cfRule>
  </conditionalFormatting>
  <conditionalFormatting sqref="P21:P22">
    <cfRule type="cellIs" dxfId="6" priority="42" operator="greaterThan">
      <formula>0</formula>
    </cfRule>
    <cfRule type="cellIs" dxfId="5" priority="44" operator="greaterThan">
      <formula>0</formula>
    </cfRule>
    <cfRule type="cellIs" dxfId="4" priority="45" operator="greaterThan">
      <formula>0</formula>
    </cfRule>
  </conditionalFormatting>
  <conditionalFormatting sqref="R3:X1048576 D10:O11">
    <cfRule type="cellIs" dxfId="3" priority="29" operator="greaterThan">
      <formula>0</formula>
    </cfRule>
  </conditionalFormatting>
  <conditionalFormatting sqref="R21:X33">
    <cfRule type="cellIs" dxfId="2" priority="46" operator="greaterThan">
      <formula>0</formula>
    </cfRule>
  </conditionalFormatting>
  <conditionalFormatting sqref="R21:X34 C22:L33">
    <cfRule type="cellIs" dxfId="1" priority="48" operator="greaterThan">
      <formula>0</formula>
    </cfRule>
  </conditionalFormatting>
  <conditionalFormatting sqref="U28 C22:L33">
    <cfRule type="cellIs" dxfId="0" priority="47" operator="greaterThan">
      <formula>0</formula>
    </cfRule>
  </conditionalFormatting>
  <pageMargins left="0.19685039370078741" right="0.19685039370078741" top="0.59055118110236227" bottom="0.39370078740157483" header="0" footer="0"/>
  <pageSetup scale="84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8"/>
  <sheetViews>
    <sheetView workbookViewId="0">
      <selection activeCell="A21" sqref="A21"/>
    </sheetView>
  </sheetViews>
  <sheetFormatPr baseColWidth="10" defaultRowHeight="14.5" x14ac:dyDescent="0.35"/>
  <cols>
    <col min="3" max="3" width="50.7265625" customWidth="1"/>
  </cols>
  <sheetData>
    <row r="2" spans="2:6" x14ac:dyDescent="0.35">
      <c r="B2" s="9" t="s">
        <v>121</v>
      </c>
      <c r="C2" s="10" t="s">
        <v>122</v>
      </c>
      <c r="D2" s="9"/>
      <c r="E2" s="9" t="s">
        <v>123</v>
      </c>
      <c r="F2" s="9" t="s">
        <v>124</v>
      </c>
    </row>
    <row r="3" spans="2:6" ht="15.5" x14ac:dyDescent="0.35">
      <c r="B3" s="11" t="s">
        <v>125</v>
      </c>
      <c r="C3" s="12" t="s">
        <v>0</v>
      </c>
      <c r="D3" s="13" t="s">
        <v>1</v>
      </c>
      <c r="E3" s="13" t="s">
        <v>12</v>
      </c>
      <c r="F3" s="13" t="s">
        <v>2</v>
      </c>
    </row>
    <row r="4" spans="2:6" ht="15.5" x14ac:dyDescent="0.35">
      <c r="B4" s="11" t="s">
        <v>126</v>
      </c>
      <c r="C4" s="12" t="s">
        <v>82</v>
      </c>
      <c r="D4" s="13" t="s">
        <v>1</v>
      </c>
      <c r="E4" s="13" t="s">
        <v>12</v>
      </c>
      <c r="F4" s="13" t="s">
        <v>3</v>
      </c>
    </row>
    <row r="5" spans="2:6" ht="15.5" x14ac:dyDescent="0.35">
      <c r="B5" s="11" t="s">
        <v>127</v>
      </c>
      <c r="C5" s="12" t="s">
        <v>75</v>
      </c>
      <c r="D5" s="13" t="s">
        <v>1</v>
      </c>
      <c r="E5" s="14" t="s">
        <v>12</v>
      </c>
      <c r="F5" s="15" t="s">
        <v>14</v>
      </c>
    </row>
    <row r="6" spans="2:6" ht="15.5" x14ac:dyDescent="0.35">
      <c r="B6" s="11" t="s">
        <v>128</v>
      </c>
      <c r="C6" s="12" t="s">
        <v>52</v>
      </c>
      <c r="D6" s="13" t="s">
        <v>1</v>
      </c>
      <c r="E6" s="14" t="s">
        <v>12</v>
      </c>
      <c r="F6" s="15" t="s">
        <v>15</v>
      </c>
    </row>
    <row r="7" spans="2:6" ht="15.5" x14ac:dyDescent="0.35">
      <c r="B7" s="11" t="s">
        <v>129</v>
      </c>
      <c r="C7" s="12" t="s">
        <v>13</v>
      </c>
      <c r="D7" s="13" t="s">
        <v>1</v>
      </c>
      <c r="E7" s="14" t="s">
        <v>12</v>
      </c>
      <c r="F7" s="15" t="s">
        <v>16</v>
      </c>
    </row>
    <row r="8" spans="2:6" ht="15.5" x14ac:dyDescent="0.35">
      <c r="B8" s="11" t="s">
        <v>130</v>
      </c>
      <c r="C8" s="12" t="s">
        <v>83</v>
      </c>
      <c r="D8" s="13" t="s">
        <v>1</v>
      </c>
      <c r="E8" s="14" t="s">
        <v>12</v>
      </c>
      <c r="F8" s="15" t="s">
        <v>17</v>
      </c>
    </row>
    <row r="9" spans="2:6" ht="15.5" x14ac:dyDescent="0.35">
      <c r="B9" s="11" t="s">
        <v>131</v>
      </c>
      <c r="C9" s="12" t="s">
        <v>76</v>
      </c>
      <c r="D9" s="13" t="s">
        <v>1</v>
      </c>
      <c r="E9" s="14" t="s">
        <v>12</v>
      </c>
      <c r="F9" s="15" t="s">
        <v>18</v>
      </c>
    </row>
    <row r="10" spans="2:6" ht="15.5" x14ac:dyDescent="0.35">
      <c r="B10" s="11" t="s">
        <v>132</v>
      </c>
      <c r="C10" s="12" t="s">
        <v>54</v>
      </c>
      <c r="D10" s="13" t="s">
        <v>1</v>
      </c>
      <c r="E10" s="14" t="s">
        <v>12</v>
      </c>
      <c r="F10" s="15" t="s">
        <v>19</v>
      </c>
    </row>
    <row r="11" spans="2:6" ht="15.5" x14ac:dyDescent="0.35">
      <c r="B11" s="11" t="s">
        <v>133</v>
      </c>
      <c r="C11" s="12" t="s">
        <v>77</v>
      </c>
      <c r="D11" s="13" t="s">
        <v>1</v>
      </c>
      <c r="E11" s="14" t="s">
        <v>12</v>
      </c>
      <c r="F11" s="15" t="s">
        <v>20</v>
      </c>
    </row>
    <row r="12" spans="2:6" ht="15.5" x14ac:dyDescent="0.35">
      <c r="B12" s="11" t="s">
        <v>134</v>
      </c>
      <c r="C12" s="12" t="s">
        <v>78</v>
      </c>
      <c r="D12" s="13" t="s">
        <v>1</v>
      </c>
      <c r="E12" s="14" t="s">
        <v>12</v>
      </c>
      <c r="F12" s="15" t="s">
        <v>21</v>
      </c>
    </row>
    <row r="13" spans="2:6" ht="15.5" x14ac:dyDescent="0.35">
      <c r="B13" s="11" t="s">
        <v>135</v>
      </c>
      <c r="C13" s="12" t="s">
        <v>79</v>
      </c>
      <c r="D13" s="13" t="s">
        <v>1</v>
      </c>
      <c r="E13" s="14" t="s">
        <v>12</v>
      </c>
      <c r="F13" s="15" t="s">
        <v>22</v>
      </c>
    </row>
    <row r="14" spans="2:6" ht="15.5" x14ac:dyDescent="0.35">
      <c r="B14" s="11" t="s">
        <v>136</v>
      </c>
      <c r="C14" s="12" t="s">
        <v>80</v>
      </c>
      <c r="D14" s="13" t="s">
        <v>1</v>
      </c>
      <c r="E14" s="14" t="s">
        <v>12</v>
      </c>
      <c r="F14" s="15" t="s">
        <v>23</v>
      </c>
    </row>
    <row r="15" spans="2:6" ht="15.5" x14ac:dyDescent="0.35">
      <c r="B15" s="11" t="s">
        <v>137</v>
      </c>
      <c r="C15" s="12" t="s">
        <v>57</v>
      </c>
      <c r="D15" s="13" t="s">
        <v>1</v>
      </c>
      <c r="E15" s="14" t="s">
        <v>12</v>
      </c>
      <c r="F15" s="15" t="s">
        <v>24</v>
      </c>
    </row>
    <row r="16" spans="2:6" ht="15.5" x14ac:dyDescent="0.35">
      <c r="B16" s="11" t="s">
        <v>138</v>
      </c>
      <c r="C16" s="12" t="s">
        <v>56</v>
      </c>
      <c r="D16" s="13" t="s">
        <v>1</v>
      </c>
      <c r="E16" s="14" t="s">
        <v>12</v>
      </c>
      <c r="F16" s="15" t="s">
        <v>32</v>
      </c>
    </row>
    <row r="17" spans="1:6" ht="15.5" x14ac:dyDescent="0.35">
      <c r="B17" s="11" t="s">
        <v>139</v>
      </c>
      <c r="C17" s="12" t="s">
        <v>81</v>
      </c>
      <c r="D17" s="13" t="s">
        <v>1</v>
      </c>
      <c r="E17" s="14" t="s">
        <v>12</v>
      </c>
      <c r="F17" s="15" t="s">
        <v>33</v>
      </c>
    </row>
    <row r="18" spans="1:6" ht="15.5" x14ac:dyDescent="0.35">
      <c r="B18" s="11" t="s">
        <v>140</v>
      </c>
      <c r="C18" s="12" t="s">
        <v>141</v>
      </c>
      <c r="D18" s="13" t="s">
        <v>1</v>
      </c>
      <c r="E18" s="14" t="s">
        <v>12</v>
      </c>
      <c r="F18" s="15" t="s">
        <v>142</v>
      </c>
    </row>
    <row r="20" spans="1:6" ht="15.5" x14ac:dyDescent="0.35">
      <c r="A20" t="s">
        <v>171</v>
      </c>
      <c r="B20" s="47" t="s">
        <v>145</v>
      </c>
      <c r="C20" s="47" t="s">
        <v>153</v>
      </c>
      <c r="D20" s="48" t="s">
        <v>167</v>
      </c>
      <c r="E20" s="48" t="s">
        <v>162</v>
      </c>
    </row>
    <row r="21" spans="1:6" ht="15.5" x14ac:dyDescent="0.35">
      <c r="B21" s="47" t="s">
        <v>146</v>
      </c>
      <c r="C21" s="47" t="s">
        <v>154</v>
      </c>
      <c r="D21" s="48" t="s">
        <v>168</v>
      </c>
      <c r="E21" s="48" t="s">
        <v>163</v>
      </c>
    </row>
    <row r="22" spans="1:6" ht="15.5" x14ac:dyDescent="0.35">
      <c r="B22" s="47" t="s">
        <v>147</v>
      </c>
      <c r="C22" t="s">
        <v>155</v>
      </c>
      <c r="E22" s="48" t="s">
        <v>164</v>
      </c>
    </row>
    <row r="23" spans="1:6" ht="15.5" x14ac:dyDescent="0.35">
      <c r="B23" s="47" t="s">
        <v>148</v>
      </c>
      <c r="D23" s="48" t="s">
        <v>157</v>
      </c>
      <c r="E23" s="48" t="s">
        <v>165</v>
      </c>
    </row>
    <row r="24" spans="1:6" ht="15.5" x14ac:dyDescent="0.35">
      <c r="B24" s="47" t="s">
        <v>149</v>
      </c>
      <c r="D24" s="48" t="s">
        <v>158</v>
      </c>
      <c r="E24" s="48" t="s">
        <v>169</v>
      </c>
    </row>
    <row r="25" spans="1:6" ht="15.5" x14ac:dyDescent="0.35">
      <c r="D25" s="48" t="s">
        <v>159</v>
      </c>
      <c r="E25" s="48" t="s">
        <v>166</v>
      </c>
    </row>
    <row r="26" spans="1:6" ht="15.5" x14ac:dyDescent="0.35">
      <c r="B26" s="47" t="s">
        <v>150</v>
      </c>
      <c r="D26" s="48" t="s">
        <v>160</v>
      </c>
      <c r="E26" s="48" t="s">
        <v>170</v>
      </c>
    </row>
    <row r="27" spans="1:6" ht="15.5" x14ac:dyDescent="0.35">
      <c r="B27" s="47" t="s">
        <v>151</v>
      </c>
      <c r="D27" s="48" t="s">
        <v>161</v>
      </c>
      <c r="E27" s="48" t="s">
        <v>156</v>
      </c>
    </row>
    <row r="28" spans="1:6" ht="15.5" x14ac:dyDescent="0.35">
      <c r="B28" s="4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PROPUESTA</vt:lpstr>
      <vt:lpstr>Hoja1</vt:lpstr>
      <vt:lpstr>PROPUESTA!Área_de_impresión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ramon.rodriguez</dc:creator>
  <cp:lastModifiedBy>Benito Sanchez Parada.</cp:lastModifiedBy>
  <cp:lastPrinted>2022-01-11T13:36:31Z</cp:lastPrinted>
  <dcterms:created xsi:type="dcterms:W3CDTF">2012-05-08T16:51:23Z</dcterms:created>
  <dcterms:modified xsi:type="dcterms:W3CDTF">2025-07-16T18:12:07Z</dcterms:modified>
</cp:coreProperties>
</file>